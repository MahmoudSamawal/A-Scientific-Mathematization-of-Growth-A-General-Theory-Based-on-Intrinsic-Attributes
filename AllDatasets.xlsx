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Mahmoud\ScientificProjects\PopulationGrowthModels\Writing\New\FinalTest\"/>
    </mc:Choice>
  </mc:AlternateContent>
  <xr:revisionPtr revIDLastSave="0" documentId="13_ncr:1_{A879F9A1-6175-4B9D-9DCE-D46F1D088E91}" xr6:coauthVersionLast="47" xr6:coauthVersionMax="47" xr10:uidLastSave="{00000000-0000-0000-0000-000000000000}"/>
  <bookViews>
    <workbookView xWindow="-120" yWindow="-120" windowWidth="20730" windowHeight="11160" firstSheet="5" activeTab="11" xr2:uid="{00000000-000D-0000-FFFF-FFFF00000000}"/>
  </bookViews>
  <sheets>
    <sheet name="White Rat Male" sheetId="13" r:id="rId1"/>
    <sheet name="White Rat Female" sheetId="14" r:id="rId2"/>
    <sheet name="Male Albino Rat" sheetId="9" r:id="rId3"/>
    <sheet name="Female Albino Rat" sheetId="10" r:id="rId4"/>
    <sheet name="Cucurpita Pepo" sheetId="11" r:id="rId5"/>
    <sheet name="Tadpole Tail Regeneration" sheetId="12" r:id="rId6"/>
    <sheet name="Yeast Cells" sheetId="8" r:id="rId7"/>
    <sheet name="Guinea Pig" sheetId="4" r:id="rId8"/>
    <sheet name="Hen" sheetId="5" r:id="rId9"/>
    <sheet name="Guppy" sheetId="6" r:id="rId10"/>
    <sheet name="Cow" sheetId="7" r:id="rId11"/>
    <sheet name="Tumor Volume" sheetId="15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3" i="15"/>
  <c r="F3" i="7"/>
  <c r="F3" i="6"/>
  <c r="F3" i="5"/>
  <c r="F3" i="8"/>
  <c r="F3" i="12"/>
  <c r="F3" i="11"/>
  <c r="F3" i="10"/>
  <c r="F3" i="9"/>
  <c r="F3" i="14"/>
  <c r="F3" i="13"/>
  <c r="E15" i="15"/>
  <c r="E14" i="15"/>
  <c r="E13" i="15"/>
  <c r="E12" i="15"/>
  <c r="E11" i="15"/>
  <c r="E10" i="15"/>
  <c r="E9" i="15"/>
  <c r="E8" i="15"/>
  <c r="E7" i="15"/>
  <c r="E6" i="15"/>
  <c r="E5" i="15"/>
  <c r="E4" i="15"/>
  <c r="D4" i="15"/>
  <c r="D5" i="15"/>
  <c r="D6" i="15"/>
  <c r="D7" i="15"/>
  <c r="D8" i="15"/>
  <c r="D9" i="15"/>
  <c r="D10" i="15"/>
  <c r="D11" i="15"/>
  <c r="D12" i="15"/>
  <c r="D13" i="15"/>
  <c r="D14" i="15"/>
  <c r="D15" i="15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E4" i="6"/>
  <c r="E5" i="6"/>
  <c r="E6" i="6"/>
  <c r="E7" i="6"/>
  <c r="E8" i="6"/>
  <c r="E9" i="6"/>
  <c r="E10" i="6"/>
  <c r="E11" i="6"/>
  <c r="E12" i="6"/>
  <c r="E13" i="6"/>
  <c r="E14" i="6"/>
  <c r="E15" i="6"/>
  <c r="D4" i="6"/>
  <c r="D5" i="6"/>
  <c r="D6" i="6"/>
  <c r="D7" i="6"/>
  <c r="D8" i="6"/>
  <c r="D9" i="6"/>
  <c r="D10" i="6"/>
  <c r="D11" i="6"/>
  <c r="D12" i="6"/>
  <c r="D13" i="6"/>
  <c r="D14" i="6"/>
  <c r="D15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E4" i="12"/>
  <c r="E5" i="12"/>
  <c r="E6" i="12"/>
  <c r="E7" i="12"/>
  <c r="E8" i="12"/>
  <c r="E9" i="12"/>
  <c r="E10" i="12"/>
  <c r="E11" i="12"/>
  <c r="E12" i="12"/>
  <c r="D4" i="12"/>
  <c r="D5" i="12"/>
  <c r="D6" i="12"/>
  <c r="D7" i="12"/>
  <c r="D8" i="12"/>
  <c r="D9" i="12"/>
  <c r="D10" i="12"/>
  <c r="D11" i="12"/>
  <c r="D12" i="12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E3" i="15"/>
  <c r="D3" i="15"/>
  <c r="E3" i="7"/>
  <c r="D3" i="7"/>
  <c r="E3" i="6"/>
  <c r="D3" i="6"/>
  <c r="E3" i="5"/>
  <c r="D3" i="5"/>
  <c r="E3" i="4"/>
  <c r="D3" i="4"/>
  <c r="E3" i="8"/>
  <c r="D3" i="8"/>
  <c r="E3" i="12"/>
  <c r="D3" i="12"/>
  <c r="E3" i="11"/>
  <c r="D3" i="11"/>
  <c r="E3" i="10"/>
  <c r="D3" i="10"/>
  <c r="E3" i="9"/>
  <c r="D3" i="9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E3" i="14"/>
  <c r="D3" i="14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3" i="13"/>
</calcChain>
</file>

<file path=xl/sharedStrings.xml><?xml version="1.0" encoding="utf-8"?>
<sst xmlns="http://schemas.openxmlformats.org/spreadsheetml/2006/main" count="60" uniqueCount="13">
  <si>
    <t>Age (day)</t>
  </si>
  <si>
    <t>Body Weight (g)</t>
  </si>
  <si>
    <t>Mass (g)</t>
  </si>
  <si>
    <t>Days</t>
  </si>
  <si>
    <t>Mass (Kg)</t>
  </si>
  <si>
    <t>Time (hour)</t>
  </si>
  <si>
    <t>Amount of yeast</t>
  </si>
  <si>
    <t>Weight (g)</t>
  </si>
  <si>
    <t>Time (days)</t>
  </si>
  <si>
    <t>Volume (mm^3)</t>
  </si>
  <si>
    <t>AUC-Exp</t>
  </si>
  <si>
    <t>AUC-Theo</t>
  </si>
  <si>
    <t>Theoretical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</si>
</sst>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212121"/>
      <name val="Courier New"/>
      <family val="3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609599</xdr:colOff>
      <xdr:row>2</xdr:row>
      <xdr:rowOff>0</xdr:rowOff>
    </xdr:from>
    <xdr:to>
      <xdr:col>16</xdr:col>
      <xdr:colOff>352424</xdr:colOff>
      <xdr:row>22</xdr:row>
      <xdr:rowOff>6248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C8EF67-5B74-A7DF-B80B-E0EC6AEAE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49" y="381000"/>
          <a:ext cx="5934075" cy="38162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0</xdr:row>
      <xdr:rowOff>0</xdr:rowOff>
    </xdr:from>
    <xdr:to>
      <xdr:col>17</xdr:col>
      <xdr:colOff>389460</xdr:colOff>
      <xdr:row>22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DED273-835E-29B2-8A34-CCE7FA62F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0"/>
          <a:ext cx="6542610" cy="421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3</xdr:row>
      <xdr:rowOff>38099</xdr:rowOff>
    </xdr:from>
    <xdr:to>
      <xdr:col>15</xdr:col>
      <xdr:colOff>219075</xdr:colOff>
      <xdr:row>23</xdr:row>
      <xdr:rowOff>163336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2EC1D-7059-951C-B3FE-FCC1C9FD6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609599"/>
          <a:ext cx="6115050" cy="39352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1</xdr:row>
      <xdr:rowOff>85725</xdr:rowOff>
    </xdr:from>
    <xdr:to>
      <xdr:col>15</xdr:col>
      <xdr:colOff>314325</xdr:colOff>
      <xdr:row>24</xdr:row>
      <xdr:rowOff>117118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4310E-79C7-8DDA-47A8-FF3DCE1AB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76225"/>
          <a:ext cx="6858000" cy="4412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314324</xdr:colOff>
      <xdr:row>2</xdr:row>
      <xdr:rowOff>38100</xdr:rowOff>
    </xdr:from>
    <xdr:to>
      <xdr:col>16</xdr:col>
      <xdr:colOff>77741</xdr:colOff>
      <xdr:row>23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3F3260-F8AA-CE38-A442-79165662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4" y="419100"/>
          <a:ext cx="6354717" cy="4048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523874</xdr:colOff>
      <xdr:row>1</xdr:row>
      <xdr:rowOff>66675</xdr:rowOff>
    </xdr:from>
    <xdr:to>
      <xdr:col>16</xdr:col>
      <xdr:colOff>400049</xdr:colOff>
      <xdr:row>21</xdr:row>
      <xdr:rowOff>142858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86BD5-0D94-E567-E270-E7E9B1493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4" y="257175"/>
          <a:ext cx="5972175" cy="38861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66675</xdr:rowOff>
    </xdr:from>
    <xdr:to>
      <xdr:col>12</xdr:col>
      <xdr:colOff>152400</xdr:colOff>
      <xdr:row>21</xdr:row>
      <xdr:rowOff>131098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40290-98AB-D5E2-EAC7-D6019983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257175"/>
          <a:ext cx="6305550" cy="3874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0</xdr:rowOff>
    </xdr:from>
    <xdr:to>
      <xdr:col>19</xdr:col>
      <xdr:colOff>323850</xdr:colOff>
      <xdr:row>27</xdr:row>
      <xdr:rowOff>153954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858E0-F9E6-7CBB-2EE4-F9E8CDF7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0"/>
          <a:ext cx="8229600" cy="52974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16</xdr:col>
      <xdr:colOff>133350</xdr:colOff>
      <xdr:row>22</xdr:row>
      <xdr:rowOff>90933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D254A-B302-D083-2DAB-1441C097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381000"/>
          <a:ext cx="6229350" cy="390093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0</xdr:row>
      <xdr:rowOff>0</xdr:rowOff>
    </xdr:from>
    <xdr:to>
      <xdr:col>18</xdr:col>
      <xdr:colOff>200025</xdr:colOff>
      <xdr:row>25</xdr:row>
      <xdr:rowOff>16058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C59DE-A036-A718-1A21-BACE12B88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0"/>
          <a:ext cx="7467600" cy="4778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190499</xdr:rowOff>
    </xdr:from>
    <xdr:to>
      <xdr:col>16</xdr:col>
      <xdr:colOff>114300</xdr:colOff>
      <xdr:row>21</xdr:row>
      <xdr:rowOff>146136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C6F0A-9BD7-132A-5001-96642B389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90499"/>
          <a:ext cx="6210300" cy="39561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9524</xdr:colOff>
      <xdr:row>0</xdr:row>
      <xdr:rowOff>0</xdr:rowOff>
    </xdr:from>
    <xdr:to>
      <xdr:col>20</xdr:col>
      <xdr:colOff>219075</xdr:colOff>
      <xdr:row>26</xdr:row>
      <xdr:rowOff>158289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9C1EB2-4ACA-ECAD-7D00-0C57004A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49" y="0"/>
          <a:ext cx="8743951" cy="50065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6A9B-F80C-431B-9E0B-B79A6F3731BF}">
  <dimension ref="A1:F52"/>
  <sheetViews>
    <sheetView workbookViewId="0">
      <selection activeCell="F3" sqref="F3"/>
    </sheetView>
  </sheetViews>
  <sheetFormatPr defaultRowHeight="15" x14ac:dyDescent="0.25"/>
  <cols>
    <col min="2" max="2" width="23.7109375" bestFit="1" customWidth="1"/>
    <col min="3" max="3" width="12" bestFit="1" customWidth="1"/>
    <col min="4" max="4" width="9.7109375" bestFit="1" customWidth="1"/>
    <col min="5" max="5" width="9.5703125" customWidth="1"/>
    <col min="6" max="6" width="8.7109375" customWidth="1"/>
    <col min="8" max="8" width="10.5703125" bestFit="1" customWidth="1"/>
  </cols>
  <sheetData>
    <row r="1" spans="1:6" x14ac:dyDescent="0.25">
      <c r="A1" t="s">
        <v>0</v>
      </c>
      <c r="B1" t="s">
        <v>1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5.4</v>
      </c>
      <c r="C2">
        <v>5.4</v>
      </c>
    </row>
    <row r="3" spans="1:6" x14ac:dyDescent="0.25">
      <c r="A3">
        <v>1</v>
      </c>
      <c r="B3">
        <v>5.6</v>
      </c>
      <c r="C3">
        <v>5.7100144461531297</v>
      </c>
      <c r="D3">
        <f>0.5*(B3+B2)*($A$3-$A$2)</f>
        <v>5.5</v>
      </c>
      <c r="E3">
        <f>0.5*(C3+C2)*($A$3-$A$2)</f>
        <v>5.555007223076565</v>
      </c>
      <c r="F3">
        <f>100*ABS(SUM(D:D)-SUM(E:E))/SUM(E:E)</f>
        <v>1.5537495050908529E-2</v>
      </c>
    </row>
    <row r="4" spans="1:6" x14ac:dyDescent="0.25">
      <c r="A4">
        <v>2</v>
      </c>
      <c r="B4">
        <v>5.8</v>
      </c>
      <c r="C4">
        <v>6.0300293583111984</v>
      </c>
      <c r="D4">
        <f t="shared" ref="D4:D52" si="0">0.5*(B4+B3)*($A$3-$A$2)</f>
        <v>5.6999999999999993</v>
      </c>
      <c r="E4">
        <f t="shared" ref="E4:E52" si="1">0.5*(C4+C3)*($A$3-$A$2)</f>
        <v>5.870021902232164</v>
      </c>
    </row>
    <row r="5" spans="1:6" x14ac:dyDescent="0.25">
      <c r="A5">
        <v>3</v>
      </c>
      <c r="B5">
        <v>6.3</v>
      </c>
      <c r="C5">
        <v>6.3700452024791474</v>
      </c>
      <c r="D5">
        <f t="shared" si="0"/>
        <v>6.05</v>
      </c>
      <c r="E5">
        <f t="shared" si="1"/>
        <v>6.2000372803951729</v>
      </c>
    </row>
    <row r="6" spans="1:6" x14ac:dyDescent="0.25">
      <c r="A6">
        <v>4</v>
      </c>
      <c r="B6">
        <v>6.9</v>
      </c>
      <c r="C6">
        <v>6.7300619786569742</v>
      </c>
      <c r="D6">
        <f t="shared" si="0"/>
        <v>6.6</v>
      </c>
      <c r="E6">
        <f t="shared" si="1"/>
        <v>6.5500535905680604</v>
      </c>
    </row>
    <row r="7" spans="1:6" x14ac:dyDescent="0.25">
      <c r="A7">
        <v>5</v>
      </c>
      <c r="B7">
        <v>8.3000000000000007</v>
      </c>
      <c r="C7">
        <v>7.1000792208397412</v>
      </c>
      <c r="D7">
        <f t="shared" si="0"/>
        <v>7.6000000000000005</v>
      </c>
      <c r="E7">
        <f t="shared" si="1"/>
        <v>6.9150705997483577</v>
      </c>
    </row>
    <row r="8" spans="1:6" x14ac:dyDescent="0.25">
      <c r="A8">
        <v>6</v>
      </c>
      <c r="B8">
        <v>9.1</v>
      </c>
      <c r="C8">
        <v>7.500097861037327</v>
      </c>
      <c r="D8">
        <f t="shared" si="0"/>
        <v>8.6999999999999993</v>
      </c>
      <c r="E8">
        <f t="shared" si="1"/>
        <v>7.3000885409385337</v>
      </c>
    </row>
    <row r="9" spans="1:6" x14ac:dyDescent="0.25">
      <c r="A9">
        <v>7</v>
      </c>
      <c r="B9">
        <v>9.1999999999999993</v>
      </c>
      <c r="C9">
        <v>7.910116967239853</v>
      </c>
      <c r="D9">
        <f t="shared" si="0"/>
        <v>9.1499999999999986</v>
      </c>
      <c r="E9">
        <f t="shared" si="1"/>
        <v>7.70510741413859</v>
      </c>
    </row>
    <row r="10" spans="1:6" x14ac:dyDescent="0.25">
      <c r="A10">
        <v>8</v>
      </c>
      <c r="B10">
        <v>10.4</v>
      </c>
      <c r="C10">
        <v>8.3501374714571988</v>
      </c>
      <c r="D10">
        <f t="shared" si="0"/>
        <v>9.8000000000000007</v>
      </c>
      <c r="E10">
        <f t="shared" si="1"/>
        <v>8.1301272193485268</v>
      </c>
    </row>
    <row r="11" spans="1:6" x14ac:dyDescent="0.25">
      <c r="A11">
        <v>9</v>
      </c>
      <c r="B11">
        <v>11.3</v>
      </c>
      <c r="C11">
        <v>8.8101589076844213</v>
      </c>
      <c r="D11">
        <f t="shared" si="0"/>
        <v>10.850000000000001</v>
      </c>
      <c r="E11">
        <f t="shared" si="1"/>
        <v>8.58014818957081</v>
      </c>
    </row>
    <row r="12" spans="1:6" x14ac:dyDescent="0.25">
      <c r="A12">
        <v>10</v>
      </c>
      <c r="B12">
        <v>12.2</v>
      </c>
      <c r="C12">
        <v>9.3001817419264654</v>
      </c>
      <c r="D12">
        <f t="shared" si="0"/>
        <v>11.75</v>
      </c>
      <c r="E12">
        <f t="shared" si="1"/>
        <v>9.0551703248054434</v>
      </c>
    </row>
    <row r="13" spans="1:6" x14ac:dyDescent="0.25">
      <c r="A13">
        <v>11</v>
      </c>
      <c r="B13">
        <v>13.3</v>
      </c>
      <c r="C13">
        <v>9.800205042173447</v>
      </c>
      <c r="D13">
        <f t="shared" si="0"/>
        <v>12.75</v>
      </c>
      <c r="E13">
        <f t="shared" si="1"/>
        <v>9.5501933920499553</v>
      </c>
    </row>
    <row r="14" spans="1:6" x14ac:dyDescent="0.25">
      <c r="A14">
        <v>12</v>
      </c>
      <c r="B14">
        <v>14.8</v>
      </c>
      <c r="C14">
        <v>10.340230206440189</v>
      </c>
      <c r="D14">
        <f t="shared" si="0"/>
        <v>14.05</v>
      </c>
      <c r="E14">
        <f t="shared" si="1"/>
        <v>10.070217624306817</v>
      </c>
    </row>
    <row r="15" spans="1:6" x14ac:dyDescent="0.25">
      <c r="A15">
        <v>13</v>
      </c>
      <c r="B15">
        <v>15.3</v>
      </c>
      <c r="C15">
        <v>10.90025630271681</v>
      </c>
      <c r="D15">
        <f t="shared" si="0"/>
        <v>15.05</v>
      </c>
      <c r="E15">
        <f t="shared" si="1"/>
        <v>10.620243254578501</v>
      </c>
    </row>
    <row r="16" spans="1:6" x14ac:dyDescent="0.25">
      <c r="A16">
        <v>14</v>
      </c>
      <c r="B16">
        <v>15.2</v>
      </c>
      <c r="C16">
        <v>11.490283797008249</v>
      </c>
      <c r="D16">
        <f t="shared" si="0"/>
        <v>15.25</v>
      </c>
      <c r="E16">
        <f t="shared" si="1"/>
        <v>11.195270049862529</v>
      </c>
    </row>
    <row r="17" spans="1:5" x14ac:dyDescent="0.25">
      <c r="A17">
        <v>15</v>
      </c>
      <c r="B17">
        <v>16.5</v>
      </c>
      <c r="C17">
        <v>12.11031268931451</v>
      </c>
      <c r="D17">
        <f t="shared" si="0"/>
        <v>15.85</v>
      </c>
      <c r="E17">
        <f t="shared" si="1"/>
        <v>11.800298243161379</v>
      </c>
    </row>
    <row r="18" spans="1:5" x14ac:dyDescent="0.25">
      <c r="A18">
        <v>17</v>
      </c>
      <c r="B18">
        <v>17.8</v>
      </c>
      <c r="C18">
        <v>13.45037513397642</v>
      </c>
      <c r="D18">
        <f t="shared" si="0"/>
        <v>17.149999999999999</v>
      </c>
      <c r="E18">
        <f t="shared" si="1"/>
        <v>12.780343911645465</v>
      </c>
    </row>
    <row r="19" spans="1:5" x14ac:dyDescent="0.25">
      <c r="A19">
        <v>19</v>
      </c>
      <c r="B19">
        <v>19.5</v>
      </c>
      <c r="C19">
        <v>14.91044317069761</v>
      </c>
      <c r="D19">
        <f t="shared" si="0"/>
        <v>18.649999999999999</v>
      </c>
      <c r="E19">
        <f t="shared" si="1"/>
        <v>14.180409152337015</v>
      </c>
    </row>
    <row r="20" spans="1:5" x14ac:dyDescent="0.25">
      <c r="A20">
        <v>21</v>
      </c>
      <c r="B20">
        <v>21.2</v>
      </c>
      <c r="C20">
        <v>16.510517731487951</v>
      </c>
      <c r="D20">
        <f t="shared" si="0"/>
        <v>20.350000000000001</v>
      </c>
      <c r="E20">
        <f t="shared" si="1"/>
        <v>15.710480451092781</v>
      </c>
    </row>
    <row r="21" spans="1:5" x14ac:dyDescent="0.25">
      <c r="A21">
        <v>23</v>
      </c>
      <c r="B21">
        <v>22.9</v>
      </c>
      <c r="C21">
        <v>18.270599748357331</v>
      </c>
      <c r="D21">
        <f t="shared" si="0"/>
        <v>22.049999999999997</v>
      </c>
      <c r="E21">
        <f t="shared" si="1"/>
        <v>17.390558739922639</v>
      </c>
    </row>
    <row r="22" spans="1:5" x14ac:dyDescent="0.25">
      <c r="A22">
        <v>25</v>
      </c>
      <c r="B22">
        <v>25.3</v>
      </c>
      <c r="C22">
        <v>20.19068922130575</v>
      </c>
      <c r="D22">
        <f t="shared" si="0"/>
        <v>24.1</v>
      </c>
      <c r="E22">
        <f t="shared" si="1"/>
        <v>19.23064448483154</v>
      </c>
    </row>
    <row r="23" spans="1:5" x14ac:dyDescent="0.25">
      <c r="A23">
        <v>27</v>
      </c>
      <c r="B23">
        <v>27.4</v>
      </c>
      <c r="C23">
        <v>22.270786150333191</v>
      </c>
      <c r="D23">
        <f t="shared" si="0"/>
        <v>26.35</v>
      </c>
      <c r="E23">
        <f t="shared" si="1"/>
        <v>21.23073768581947</v>
      </c>
    </row>
    <row r="24" spans="1:5" x14ac:dyDescent="0.25">
      <c r="A24">
        <v>29</v>
      </c>
      <c r="B24">
        <v>29.5</v>
      </c>
      <c r="C24">
        <v>24.5408919334545</v>
      </c>
      <c r="D24">
        <f t="shared" si="0"/>
        <v>28.45</v>
      </c>
      <c r="E24">
        <f t="shared" si="1"/>
        <v>23.405839041893845</v>
      </c>
    </row>
    <row r="25" spans="1:5" x14ac:dyDescent="0.25">
      <c r="A25">
        <v>31</v>
      </c>
      <c r="B25">
        <v>31.8</v>
      </c>
      <c r="C25">
        <v>26.991006104664709</v>
      </c>
      <c r="D25">
        <f t="shared" si="0"/>
        <v>30.65</v>
      </c>
      <c r="E25">
        <f t="shared" si="1"/>
        <v>25.765949019059605</v>
      </c>
    </row>
    <row r="26" spans="1:5" x14ac:dyDescent="0.25">
      <c r="A26">
        <v>34</v>
      </c>
      <c r="B26">
        <v>34.9</v>
      </c>
      <c r="C26">
        <v>31.03119437066033</v>
      </c>
      <c r="D26">
        <f t="shared" si="0"/>
        <v>33.35</v>
      </c>
      <c r="E26">
        <f t="shared" si="1"/>
        <v>29.011100237662518</v>
      </c>
    </row>
    <row r="27" spans="1:5" x14ac:dyDescent="0.25">
      <c r="A27">
        <v>37</v>
      </c>
      <c r="B27">
        <v>37.799999999999997</v>
      </c>
      <c r="C27">
        <v>35.521403606878231</v>
      </c>
      <c r="D27">
        <f t="shared" si="0"/>
        <v>36.349999999999994</v>
      </c>
      <c r="E27">
        <f t="shared" si="1"/>
        <v>33.276298988769284</v>
      </c>
    </row>
    <row r="28" spans="1:5" x14ac:dyDescent="0.25">
      <c r="A28">
        <v>40</v>
      </c>
      <c r="B28">
        <v>42.2</v>
      </c>
      <c r="C28">
        <v>40.471634279323361</v>
      </c>
      <c r="D28">
        <f t="shared" si="0"/>
        <v>40</v>
      </c>
      <c r="E28">
        <f t="shared" si="1"/>
        <v>37.996518943100796</v>
      </c>
    </row>
    <row r="29" spans="1:5" x14ac:dyDescent="0.25">
      <c r="A29">
        <v>43</v>
      </c>
      <c r="B29">
        <v>46.3</v>
      </c>
      <c r="C29">
        <v>45.891886854000653</v>
      </c>
      <c r="D29">
        <f t="shared" si="0"/>
        <v>44.25</v>
      </c>
      <c r="E29">
        <f t="shared" si="1"/>
        <v>43.181760566662007</v>
      </c>
    </row>
    <row r="30" spans="1:5" x14ac:dyDescent="0.25">
      <c r="A30">
        <v>46</v>
      </c>
      <c r="B30">
        <v>50.5</v>
      </c>
      <c r="C30">
        <v>51.752159932895289</v>
      </c>
      <c r="D30">
        <f t="shared" si="0"/>
        <v>48.4</v>
      </c>
      <c r="E30">
        <f t="shared" si="1"/>
        <v>48.822023393447971</v>
      </c>
    </row>
    <row r="31" spans="1:5" x14ac:dyDescent="0.25">
      <c r="A31">
        <v>49</v>
      </c>
      <c r="B31">
        <v>56.7</v>
      </c>
      <c r="C31">
        <v>58.03245258399739</v>
      </c>
      <c r="D31">
        <f t="shared" si="0"/>
        <v>53.6</v>
      </c>
      <c r="E31">
        <f t="shared" si="1"/>
        <v>54.892306258446339</v>
      </c>
    </row>
    <row r="32" spans="1:5" x14ac:dyDescent="0.25">
      <c r="A32">
        <v>52</v>
      </c>
      <c r="B32">
        <v>62.5</v>
      </c>
      <c r="C32">
        <v>64.692762943287207</v>
      </c>
      <c r="D32">
        <f t="shared" si="0"/>
        <v>59.6</v>
      </c>
      <c r="E32">
        <f t="shared" si="1"/>
        <v>61.362607763642302</v>
      </c>
    </row>
    <row r="33" spans="1:5" x14ac:dyDescent="0.25">
      <c r="A33">
        <v>55</v>
      </c>
      <c r="B33">
        <v>68.5</v>
      </c>
      <c r="C33">
        <v>71.693089146744967</v>
      </c>
      <c r="D33">
        <f t="shared" si="0"/>
        <v>65.5</v>
      </c>
      <c r="E33">
        <f t="shared" si="1"/>
        <v>68.192926045016094</v>
      </c>
    </row>
    <row r="34" spans="1:5" x14ac:dyDescent="0.25">
      <c r="A34">
        <v>58</v>
      </c>
      <c r="B34">
        <v>73.900000000000006</v>
      </c>
      <c r="C34">
        <v>78.953427466331149</v>
      </c>
      <c r="D34">
        <f t="shared" si="0"/>
        <v>71.2</v>
      </c>
      <c r="E34">
        <f t="shared" si="1"/>
        <v>75.323258306538065</v>
      </c>
    </row>
    <row r="35" spans="1:5" x14ac:dyDescent="0.25">
      <c r="A35">
        <v>61</v>
      </c>
      <c r="B35">
        <v>81.7</v>
      </c>
      <c r="C35">
        <v>86.423775572021071</v>
      </c>
      <c r="D35">
        <f t="shared" si="0"/>
        <v>77.800000000000011</v>
      </c>
      <c r="E35">
        <f t="shared" si="1"/>
        <v>82.688601519176103</v>
      </c>
    </row>
    <row r="36" spans="1:5" x14ac:dyDescent="0.25">
      <c r="A36">
        <v>64</v>
      </c>
      <c r="B36">
        <v>89.1</v>
      </c>
      <c r="C36">
        <v>94.024129735775205</v>
      </c>
      <c r="D36">
        <f t="shared" si="0"/>
        <v>85.4</v>
      </c>
      <c r="E36">
        <f t="shared" si="1"/>
        <v>90.223952653898138</v>
      </c>
    </row>
    <row r="37" spans="1:5" x14ac:dyDescent="0.25">
      <c r="A37">
        <v>67</v>
      </c>
      <c r="B37">
        <v>99.3</v>
      </c>
      <c r="C37">
        <v>101.67448622955401</v>
      </c>
      <c r="D37">
        <f t="shared" si="0"/>
        <v>94.199999999999989</v>
      </c>
      <c r="E37">
        <f t="shared" si="1"/>
        <v>97.849307982664612</v>
      </c>
    </row>
    <row r="38" spans="1:5" x14ac:dyDescent="0.25">
      <c r="A38">
        <v>70</v>
      </c>
      <c r="B38">
        <v>106.6</v>
      </c>
      <c r="C38">
        <v>109.304841791323</v>
      </c>
      <c r="D38">
        <f t="shared" si="0"/>
        <v>102.94999999999999</v>
      </c>
      <c r="E38">
        <f t="shared" si="1"/>
        <v>105.4896640104385</v>
      </c>
    </row>
    <row r="39" spans="1:5" x14ac:dyDescent="0.25">
      <c r="A39">
        <v>73</v>
      </c>
      <c r="B39">
        <v>113.8</v>
      </c>
      <c r="C39">
        <v>116.8351926930426</v>
      </c>
      <c r="D39">
        <f t="shared" si="0"/>
        <v>110.19999999999999</v>
      </c>
      <c r="E39">
        <f t="shared" si="1"/>
        <v>113.0700172421828</v>
      </c>
    </row>
    <row r="40" spans="1:5" x14ac:dyDescent="0.25">
      <c r="A40">
        <v>76</v>
      </c>
      <c r="B40">
        <v>121.3</v>
      </c>
      <c r="C40">
        <v>124.2055361386831</v>
      </c>
      <c r="D40">
        <f t="shared" si="0"/>
        <v>117.55</v>
      </c>
      <c r="E40">
        <f t="shared" si="1"/>
        <v>120.52036441586284</v>
      </c>
    </row>
    <row r="41" spans="1:5" x14ac:dyDescent="0.25">
      <c r="A41">
        <v>79</v>
      </c>
      <c r="B41">
        <v>128.19999999999999</v>
      </c>
      <c r="C41">
        <v>131.36586979821979</v>
      </c>
      <c r="D41">
        <f t="shared" si="0"/>
        <v>124.75</v>
      </c>
      <c r="E41">
        <f t="shared" si="1"/>
        <v>127.78570296845145</v>
      </c>
    </row>
    <row r="42" spans="1:5" x14ac:dyDescent="0.25">
      <c r="A42">
        <v>82</v>
      </c>
      <c r="B42">
        <v>135</v>
      </c>
      <c r="C42">
        <v>138.2561908756233</v>
      </c>
      <c r="D42">
        <f t="shared" si="0"/>
        <v>131.6</v>
      </c>
      <c r="E42">
        <f t="shared" si="1"/>
        <v>134.81103033692153</v>
      </c>
    </row>
    <row r="43" spans="1:5" x14ac:dyDescent="0.25">
      <c r="A43">
        <v>85</v>
      </c>
      <c r="B43">
        <v>143.80000000000001</v>
      </c>
      <c r="C43">
        <v>144.8464979728785</v>
      </c>
      <c r="D43">
        <f t="shared" si="0"/>
        <v>139.4</v>
      </c>
      <c r="E43">
        <f t="shared" si="1"/>
        <v>141.55134442425089</v>
      </c>
    </row>
    <row r="44" spans="1:5" x14ac:dyDescent="0.25">
      <c r="A44">
        <v>88</v>
      </c>
      <c r="B44">
        <v>148.4</v>
      </c>
      <c r="C44">
        <v>151.1067896919707</v>
      </c>
      <c r="D44">
        <f t="shared" si="0"/>
        <v>146.10000000000002</v>
      </c>
      <c r="E44">
        <f t="shared" si="1"/>
        <v>147.9766438324246</v>
      </c>
    </row>
    <row r="45" spans="1:5" x14ac:dyDescent="0.25">
      <c r="A45">
        <v>92</v>
      </c>
      <c r="B45">
        <v>152.30000000000001</v>
      </c>
      <c r="C45">
        <v>158.90715317582371</v>
      </c>
      <c r="D45">
        <f t="shared" si="0"/>
        <v>150.35000000000002</v>
      </c>
      <c r="E45">
        <f t="shared" si="1"/>
        <v>155.00697143389721</v>
      </c>
    </row>
    <row r="46" spans="1:5" x14ac:dyDescent="0.25">
      <c r="A46">
        <v>97</v>
      </c>
      <c r="B46">
        <v>160</v>
      </c>
      <c r="C46">
        <v>167.72756419218041</v>
      </c>
      <c r="D46">
        <f t="shared" si="0"/>
        <v>156.15</v>
      </c>
      <c r="E46">
        <f t="shared" si="1"/>
        <v>163.31735868400204</v>
      </c>
    </row>
    <row r="47" spans="1:5" x14ac:dyDescent="0.25">
      <c r="A47">
        <v>102</v>
      </c>
      <c r="B47">
        <v>168.8</v>
      </c>
      <c r="C47">
        <v>175.53792814203831</v>
      </c>
      <c r="D47">
        <f t="shared" si="0"/>
        <v>164.4</v>
      </c>
      <c r="E47">
        <f t="shared" si="1"/>
        <v>171.63274616710936</v>
      </c>
    </row>
    <row r="48" spans="1:5" x14ac:dyDescent="0.25">
      <c r="A48">
        <v>107</v>
      </c>
      <c r="B48">
        <v>177.6</v>
      </c>
      <c r="C48">
        <v>182.3682464234121</v>
      </c>
      <c r="D48">
        <f t="shared" si="0"/>
        <v>173.2</v>
      </c>
      <c r="E48">
        <f t="shared" si="1"/>
        <v>178.95308728272522</v>
      </c>
    </row>
    <row r="49" spans="1:5" x14ac:dyDescent="0.25">
      <c r="A49">
        <v>112</v>
      </c>
      <c r="B49">
        <v>183.8</v>
      </c>
      <c r="C49">
        <v>188.2885222983364</v>
      </c>
      <c r="D49">
        <f t="shared" si="0"/>
        <v>180.7</v>
      </c>
      <c r="E49">
        <f t="shared" si="1"/>
        <v>185.32838436087425</v>
      </c>
    </row>
    <row r="50" spans="1:5" x14ac:dyDescent="0.25">
      <c r="A50">
        <v>117</v>
      </c>
      <c r="B50">
        <v>191.4</v>
      </c>
      <c r="C50">
        <v>193.36875902884569</v>
      </c>
      <c r="D50">
        <f t="shared" si="0"/>
        <v>187.60000000000002</v>
      </c>
      <c r="E50">
        <f t="shared" si="1"/>
        <v>190.82864066359105</v>
      </c>
    </row>
    <row r="51" spans="1:5" x14ac:dyDescent="0.25">
      <c r="A51">
        <v>124</v>
      </c>
      <c r="B51">
        <v>197.3</v>
      </c>
      <c r="C51">
        <v>199.2490330397502</v>
      </c>
      <c r="D51">
        <f t="shared" si="0"/>
        <v>194.35000000000002</v>
      </c>
      <c r="E51">
        <f t="shared" si="1"/>
        <v>196.30889603429796</v>
      </c>
    </row>
    <row r="52" spans="1:5" x14ac:dyDescent="0.25">
      <c r="A52">
        <v>131</v>
      </c>
      <c r="B52">
        <v>202.5</v>
      </c>
      <c r="C52">
        <v>203.8992497320472</v>
      </c>
      <c r="D52">
        <f t="shared" si="0"/>
        <v>199.9</v>
      </c>
      <c r="E52">
        <f t="shared" si="1"/>
        <v>201.57414138589871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C090-14A2-49B5-B532-771A5B263205}">
  <dimension ref="A1:F51"/>
  <sheetViews>
    <sheetView workbookViewId="0">
      <selection activeCell="F3" sqref="F3"/>
    </sheetView>
  </sheetViews>
  <sheetFormatPr defaultRowHeight="15" x14ac:dyDescent="0.25"/>
  <cols>
    <col min="2" max="2" width="23.7109375" bestFit="1" customWidth="1"/>
    <col min="3" max="3" width="12" bestFit="1" customWidth="1"/>
    <col min="5" max="5" width="9.28515625" customWidth="1"/>
    <col min="6" max="6" width="8.5703125" customWidth="1"/>
    <col min="8" max="8" width="10.5703125" bestFit="1" customWidth="1"/>
  </cols>
  <sheetData>
    <row r="1" spans="1:6" x14ac:dyDescent="0.25">
      <c r="A1" t="s">
        <v>0</v>
      </c>
      <c r="B1" t="s">
        <v>1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5.2</v>
      </c>
      <c r="C2">
        <v>5.2</v>
      </c>
    </row>
    <row r="3" spans="1:6" x14ac:dyDescent="0.25">
      <c r="A3">
        <v>1</v>
      </c>
      <c r="B3">
        <v>5.5</v>
      </c>
      <c r="C3">
        <v>5.5100159145746703</v>
      </c>
      <c r="D3">
        <f>0.5*(B3+B2)*($A$3-$A$2)</f>
        <v>5.35</v>
      </c>
      <c r="E3">
        <f>0.5*(C3+C2)*($A$3-$A$2)</f>
        <v>5.3550079572873353</v>
      </c>
      <c r="F3">
        <f>100*ABS(SUM(D:D)-SUM(E:E))/SUM(E:E)</f>
        <v>6.7776916036192887</v>
      </c>
    </row>
    <row r="4" spans="1:6" x14ac:dyDescent="0.25">
      <c r="A4">
        <v>2</v>
      </c>
      <c r="B4">
        <v>5.7</v>
      </c>
      <c r="C4">
        <v>5.830032342522717</v>
      </c>
      <c r="D4">
        <f t="shared" ref="D4:D49" si="0">0.5*(B4+B3)*($A$3-$A$2)</f>
        <v>5.6</v>
      </c>
      <c r="E4">
        <f t="shared" ref="E4:E49" si="1">0.5*(C4+C3)*($A$3-$A$2)</f>
        <v>5.6700241285486932</v>
      </c>
    </row>
    <row r="5" spans="1:6" x14ac:dyDescent="0.25">
      <c r="A5">
        <v>3</v>
      </c>
      <c r="B5">
        <v>6.2</v>
      </c>
      <c r="C5">
        <v>6.1600492838441401</v>
      </c>
      <c r="D5">
        <f t="shared" si="0"/>
        <v>5.95</v>
      </c>
      <c r="E5">
        <f t="shared" si="1"/>
        <v>5.9950408131834285</v>
      </c>
    </row>
    <row r="6" spans="1:6" x14ac:dyDescent="0.25">
      <c r="A6">
        <v>4</v>
      </c>
      <c r="B6">
        <v>6.5</v>
      </c>
      <c r="C6">
        <v>6.5200677652856927</v>
      </c>
      <c r="D6">
        <f t="shared" si="0"/>
        <v>6.35</v>
      </c>
      <c r="E6">
        <f t="shared" si="1"/>
        <v>6.3400585245649168</v>
      </c>
    </row>
    <row r="7" spans="1:6" x14ac:dyDescent="0.25">
      <c r="A7">
        <v>5</v>
      </c>
      <c r="B7">
        <v>7.7</v>
      </c>
      <c r="C7">
        <v>6.8900867601006217</v>
      </c>
      <c r="D7">
        <f t="shared" si="0"/>
        <v>7.1</v>
      </c>
      <c r="E7">
        <f t="shared" si="1"/>
        <v>6.7050772626931572</v>
      </c>
    </row>
    <row r="8" spans="1:6" x14ac:dyDescent="0.25">
      <c r="A8">
        <v>6</v>
      </c>
      <c r="B8">
        <v>8.5</v>
      </c>
      <c r="C8">
        <v>7.2901072950356802</v>
      </c>
      <c r="D8">
        <f t="shared" si="0"/>
        <v>8.1</v>
      </c>
      <c r="E8">
        <f t="shared" si="1"/>
        <v>7.0900970275681505</v>
      </c>
    </row>
    <row r="9" spans="1:6" x14ac:dyDescent="0.25">
      <c r="A9">
        <v>7</v>
      </c>
      <c r="B9">
        <v>8.6999999999999993</v>
      </c>
      <c r="C9">
        <v>7.7001283433441143</v>
      </c>
      <c r="D9">
        <f t="shared" si="0"/>
        <v>8.6</v>
      </c>
      <c r="E9">
        <f t="shared" si="1"/>
        <v>7.4951178191898968</v>
      </c>
    </row>
    <row r="10" spans="1:6" x14ac:dyDescent="0.25">
      <c r="A10">
        <v>8</v>
      </c>
      <c r="B10">
        <v>10.6</v>
      </c>
      <c r="C10">
        <v>8.1401509317726788</v>
      </c>
      <c r="D10">
        <f t="shared" si="0"/>
        <v>9.6499999999999986</v>
      </c>
      <c r="E10">
        <f t="shared" si="1"/>
        <v>7.9201396375583961</v>
      </c>
    </row>
    <row r="11" spans="1:6" x14ac:dyDescent="0.25">
      <c r="A11">
        <v>9</v>
      </c>
      <c r="B11">
        <v>11.1</v>
      </c>
      <c r="C11">
        <v>8.6001745469479953</v>
      </c>
      <c r="D11">
        <f t="shared" si="0"/>
        <v>10.85</v>
      </c>
      <c r="E11">
        <f t="shared" si="1"/>
        <v>8.3701627393603371</v>
      </c>
    </row>
    <row r="12" spans="1:6" x14ac:dyDescent="0.25">
      <c r="A12">
        <v>10</v>
      </c>
      <c r="B12">
        <v>12.1</v>
      </c>
      <c r="C12">
        <v>9.0801991888700648</v>
      </c>
      <c r="D12">
        <f t="shared" si="0"/>
        <v>11.6</v>
      </c>
      <c r="E12">
        <f t="shared" si="1"/>
        <v>8.8401868679090292</v>
      </c>
    </row>
    <row r="13" spans="1:6" x14ac:dyDescent="0.25">
      <c r="A13">
        <v>11</v>
      </c>
      <c r="B13">
        <v>12.8</v>
      </c>
      <c r="C13">
        <v>9.5902253709122647</v>
      </c>
      <c r="D13">
        <f t="shared" si="0"/>
        <v>12.45</v>
      </c>
      <c r="E13">
        <f t="shared" si="1"/>
        <v>9.3352122798911648</v>
      </c>
    </row>
    <row r="14" spans="1:6" x14ac:dyDescent="0.25">
      <c r="A14">
        <v>12</v>
      </c>
      <c r="B14">
        <v>15.1</v>
      </c>
      <c r="C14">
        <v>10.120252579701219</v>
      </c>
      <c r="D14">
        <f t="shared" si="0"/>
        <v>13.95</v>
      </c>
      <c r="E14">
        <f t="shared" si="1"/>
        <v>9.855238975306742</v>
      </c>
    </row>
    <row r="15" spans="1:6" x14ac:dyDescent="0.25">
      <c r="A15">
        <v>13</v>
      </c>
      <c r="B15">
        <v>15.1</v>
      </c>
      <c r="C15">
        <v>10.680281328610301</v>
      </c>
      <c r="D15">
        <f t="shared" si="0"/>
        <v>15.1</v>
      </c>
      <c r="E15">
        <f t="shared" si="1"/>
        <v>10.400266954155761</v>
      </c>
    </row>
    <row r="16" spans="1:6" x14ac:dyDescent="0.25">
      <c r="A16">
        <v>14</v>
      </c>
      <c r="B16">
        <v>15.6</v>
      </c>
      <c r="C16">
        <v>11.270311617639511</v>
      </c>
      <c r="D16">
        <f t="shared" si="0"/>
        <v>15.35</v>
      </c>
      <c r="E16">
        <f t="shared" si="1"/>
        <v>10.975296473124907</v>
      </c>
    </row>
    <row r="17" spans="1:5" x14ac:dyDescent="0.25">
      <c r="A17">
        <v>15</v>
      </c>
      <c r="B17">
        <v>17.7</v>
      </c>
      <c r="C17">
        <v>11.88034293341547</v>
      </c>
      <c r="D17">
        <f t="shared" si="0"/>
        <v>16.649999999999999</v>
      </c>
      <c r="E17">
        <f t="shared" si="1"/>
        <v>11.57532727552749</v>
      </c>
    </row>
    <row r="18" spans="1:5" x14ac:dyDescent="0.25">
      <c r="A18">
        <v>17</v>
      </c>
      <c r="B18">
        <v>19.2</v>
      </c>
      <c r="C18">
        <v>13.20041069870117</v>
      </c>
      <c r="D18">
        <f t="shared" si="0"/>
        <v>18.45</v>
      </c>
      <c r="E18">
        <f t="shared" si="1"/>
        <v>12.54037681605832</v>
      </c>
    </row>
    <row r="19" spans="1:5" x14ac:dyDescent="0.25">
      <c r="A19">
        <v>19</v>
      </c>
      <c r="B19">
        <v>20.6</v>
      </c>
      <c r="C19">
        <v>14.65048513784075</v>
      </c>
      <c r="D19">
        <f t="shared" si="0"/>
        <v>19.899999999999999</v>
      </c>
      <c r="E19">
        <f t="shared" si="1"/>
        <v>13.92544791827096</v>
      </c>
    </row>
    <row r="20" spans="1:5" x14ac:dyDescent="0.25">
      <c r="A20">
        <v>21</v>
      </c>
      <c r="B20">
        <v>22.6</v>
      </c>
      <c r="C20">
        <v>16.230566250834229</v>
      </c>
      <c r="D20">
        <f t="shared" si="0"/>
        <v>21.6</v>
      </c>
      <c r="E20">
        <f t="shared" si="1"/>
        <v>15.44052569433749</v>
      </c>
    </row>
    <row r="21" spans="1:5" x14ac:dyDescent="0.25">
      <c r="A21">
        <v>23</v>
      </c>
      <c r="B21">
        <v>24.9</v>
      </c>
      <c r="C21">
        <v>17.950654551054981</v>
      </c>
      <c r="D21">
        <f t="shared" si="0"/>
        <v>23.75</v>
      </c>
      <c r="E21">
        <f t="shared" si="1"/>
        <v>17.090610400944605</v>
      </c>
    </row>
    <row r="22" spans="1:5" x14ac:dyDescent="0.25">
      <c r="A22">
        <v>25</v>
      </c>
      <c r="B22">
        <v>27.4</v>
      </c>
      <c r="C22">
        <v>19.810750038503009</v>
      </c>
      <c r="D22">
        <f t="shared" si="0"/>
        <v>26.15</v>
      </c>
      <c r="E22">
        <f t="shared" si="1"/>
        <v>18.880702294778995</v>
      </c>
    </row>
    <row r="23" spans="1:5" x14ac:dyDescent="0.25">
      <c r="A23">
        <v>27</v>
      </c>
      <c r="B23">
        <v>30</v>
      </c>
      <c r="C23">
        <v>21.83085373992505</v>
      </c>
      <c r="D23">
        <f t="shared" si="0"/>
        <v>28.7</v>
      </c>
      <c r="E23">
        <f t="shared" si="1"/>
        <v>20.820801889214032</v>
      </c>
    </row>
    <row r="24" spans="1:5" x14ac:dyDescent="0.25">
      <c r="A24">
        <v>29</v>
      </c>
      <c r="B24">
        <v>31.4</v>
      </c>
      <c r="C24">
        <v>24.000965141947741</v>
      </c>
      <c r="D24">
        <f t="shared" si="0"/>
        <v>30.7</v>
      </c>
      <c r="E24">
        <f t="shared" si="1"/>
        <v>22.915909440936396</v>
      </c>
    </row>
    <row r="25" spans="1:5" x14ac:dyDescent="0.25">
      <c r="A25">
        <v>31</v>
      </c>
      <c r="B25">
        <v>32.9</v>
      </c>
      <c r="C25">
        <v>26.34108527131783</v>
      </c>
      <c r="D25">
        <f t="shared" si="0"/>
        <v>32.15</v>
      </c>
      <c r="E25">
        <f t="shared" si="1"/>
        <v>25.171025206632784</v>
      </c>
    </row>
    <row r="26" spans="1:5" x14ac:dyDescent="0.25">
      <c r="A26">
        <v>34</v>
      </c>
      <c r="B26">
        <v>35.700000000000003</v>
      </c>
      <c r="C26">
        <v>30.14128035320088</v>
      </c>
      <c r="D26">
        <f t="shared" si="0"/>
        <v>34.299999999999997</v>
      </c>
      <c r="E26">
        <f t="shared" si="1"/>
        <v>28.241182812259353</v>
      </c>
    </row>
    <row r="27" spans="1:5" x14ac:dyDescent="0.25">
      <c r="A27">
        <v>37</v>
      </c>
      <c r="B27">
        <v>39.5</v>
      </c>
      <c r="C27">
        <v>34.321494943272242</v>
      </c>
      <c r="D27">
        <f t="shared" si="0"/>
        <v>37.6</v>
      </c>
      <c r="E27">
        <f t="shared" si="1"/>
        <v>32.231387648236563</v>
      </c>
    </row>
    <row r="28" spans="1:5" x14ac:dyDescent="0.25">
      <c r="A28">
        <v>40</v>
      </c>
      <c r="B28">
        <v>43.7</v>
      </c>
      <c r="C28">
        <v>38.841726988038403</v>
      </c>
      <c r="D28">
        <f t="shared" si="0"/>
        <v>41.6</v>
      </c>
      <c r="E28">
        <f t="shared" si="1"/>
        <v>36.581610965655322</v>
      </c>
    </row>
    <row r="29" spans="1:5" x14ac:dyDescent="0.25">
      <c r="A29">
        <v>43</v>
      </c>
      <c r="B29">
        <v>47.9</v>
      </c>
      <c r="C29">
        <v>43.711977000872743</v>
      </c>
      <c r="D29">
        <f t="shared" si="0"/>
        <v>45.8</v>
      </c>
      <c r="E29">
        <f t="shared" si="1"/>
        <v>41.276851994455569</v>
      </c>
    </row>
    <row r="30" spans="1:5" x14ac:dyDescent="0.25">
      <c r="A30">
        <v>46</v>
      </c>
      <c r="B30">
        <v>52</v>
      </c>
      <c r="C30">
        <v>48.892242928281753</v>
      </c>
      <c r="D30">
        <f t="shared" si="0"/>
        <v>49.95</v>
      </c>
      <c r="E30">
        <f t="shared" si="1"/>
        <v>46.302109964577248</v>
      </c>
    </row>
    <row r="31" spans="1:5" x14ac:dyDescent="0.25">
      <c r="A31">
        <v>49</v>
      </c>
      <c r="B31">
        <v>57.7</v>
      </c>
      <c r="C31">
        <v>54.352523230145287</v>
      </c>
      <c r="D31">
        <f t="shared" si="0"/>
        <v>54.85</v>
      </c>
      <c r="E31">
        <f t="shared" si="1"/>
        <v>51.62238307921352</v>
      </c>
    </row>
    <row r="32" spans="1:5" x14ac:dyDescent="0.25">
      <c r="A32">
        <v>52</v>
      </c>
      <c r="B32">
        <v>62.9</v>
      </c>
      <c r="C32">
        <v>60.052815852969871</v>
      </c>
      <c r="D32">
        <f t="shared" si="0"/>
        <v>60.3</v>
      </c>
      <c r="E32">
        <f t="shared" si="1"/>
        <v>57.202669541557583</v>
      </c>
    </row>
    <row r="33" spans="1:5" x14ac:dyDescent="0.25">
      <c r="A33">
        <v>55</v>
      </c>
      <c r="B33">
        <v>68.400000000000006</v>
      </c>
      <c r="C33">
        <v>65.943118229888597</v>
      </c>
      <c r="D33">
        <f t="shared" si="0"/>
        <v>65.650000000000006</v>
      </c>
      <c r="E33">
        <f t="shared" si="1"/>
        <v>62.997967041429234</v>
      </c>
    </row>
    <row r="34" spans="1:5" x14ac:dyDescent="0.25">
      <c r="A34">
        <v>58</v>
      </c>
      <c r="B34">
        <v>74.599999999999994</v>
      </c>
      <c r="C34">
        <v>71.973427794034606</v>
      </c>
      <c r="D34">
        <f t="shared" si="0"/>
        <v>71.5</v>
      </c>
      <c r="E34">
        <f t="shared" si="1"/>
        <v>68.958273011961609</v>
      </c>
    </row>
    <row r="35" spans="1:5" x14ac:dyDescent="0.25">
      <c r="A35">
        <v>61</v>
      </c>
      <c r="B35">
        <v>78.400000000000006</v>
      </c>
      <c r="C35">
        <v>78.093741978541004</v>
      </c>
      <c r="D35">
        <f t="shared" si="0"/>
        <v>76.5</v>
      </c>
      <c r="E35">
        <f t="shared" si="1"/>
        <v>75.033584886287798</v>
      </c>
    </row>
    <row r="36" spans="1:5" x14ac:dyDescent="0.25">
      <c r="A36">
        <v>64</v>
      </c>
      <c r="B36">
        <v>85.8</v>
      </c>
      <c r="C36">
        <v>84.254058216540898</v>
      </c>
      <c r="D36">
        <f t="shared" si="0"/>
        <v>82.1</v>
      </c>
      <c r="E36">
        <f t="shared" si="1"/>
        <v>81.173900097540951</v>
      </c>
    </row>
    <row r="37" spans="1:5" x14ac:dyDescent="0.25">
      <c r="A37">
        <v>67</v>
      </c>
      <c r="B37">
        <v>96</v>
      </c>
      <c r="C37">
        <v>90.414374454540791</v>
      </c>
      <c r="D37">
        <f t="shared" si="0"/>
        <v>90.9</v>
      </c>
      <c r="E37">
        <f t="shared" si="1"/>
        <v>87.334216335540845</v>
      </c>
    </row>
    <row r="38" spans="1:5" x14ac:dyDescent="0.25">
      <c r="A38">
        <v>70</v>
      </c>
      <c r="B38">
        <v>99.8</v>
      </c>
      <c r="C38">
        <v>96.504687098927064</v>
      </c>
      <c r="D38">
        <f t="shared" si="0"/>
        <v>97.9</v>
      </c>
      <c r="E38">
        <f t="shared" si="1"/>
        <v>93.459530776733928</v>
      </c>
    </row>
    <row r="39" spans="1:5" x14ac:dyDescent="0.25">
      <c r="A39">
        <v>73</v>
      </c>
      <c r="B39">
        <v>105.6</v>
      </c>
      <c r="C39">
        <v>102.50499512295291</v>
      </c>
      <c r="D39">
        <f t="shared" si="0"/>
        <v>102.69999999999999</v>
      </c>
      <c r="E39">
        <f t="shared" si="1"/>
        <v>99.504841110939992</v>
      </c>
    </row>
    <row r="40" spans="1:5" x14ac:dyDescent="0.25">
      <c r="A40">
        <v>76</v>
      </c>
      <c r="B40">
        <v>110.4</v>
      </c>
      <c r="C40">
        <v>108.37529647312491</v>
      </c>
      <c r="D40">
        <f t="shared" si="0"/>
        <v>108</v>
      </c>
      <c r="E40">
        <f t="shared" si="1"/>
        <v>105.44014579803891</v>
      </c>
    </row>
    <row r="41" spans="1:5" x14ac:dyDescent="0.25">
      <c r="A41">
        <v>79</v>
      </c>
      <c r="B41">
        <v>118.8</v>
      </c>
      <c r="C41">
        <v>114.0755890959495</v>
      </c>
      <c r="D41">
        <f t="shared" si="0"/>
        <v>114.6</v>
      </c>
      <c r="E41">
        <f t="shared" si="1"/>
        <v>111.22544278453719</v>
      </c>
    </row>
    <row r="42" spans="1:5" x14ac:dyDescent="0.25">
      <c r="A42">
        <v>82</v>
      </c>
      <c r="B42">
        <v>124.7</v>
      </c>
      <c r="C42">
        <v>119.59587247805329</v>
      </c>
      <c r="D42">
        <f t="shared" si="0"/>
        <v>121.75</v>
      </c>
      <c r="E42">
        <f t="shared" si="1"/>
        <v>116.8357307870014</v>
      </c>
    </row>
    <row r="43" spans="1:5" x14ac:dyDescent="0.25">
      <c r="A43">
        <v>85</v>
      </c>
      <c r="B43">
        <v>131.5</v>
      </c>
      <c r="C43">
        <v>124.89614456594281</v>
      </c>
      <c r="D43">
        <f t="shared" si="0"/>
        <v>128.1</v>
      </c>
      <c r="E43">
        <f t="shared" si="1"/>
        <v>122.24600852199805</v>
      </c>
    </row>
    <row r="44" spans="1:5" x14ac:dyDescent="0.25">
      <c r="A44">
        <v>88</v>
      </c>
      <c r="B44">
        <v>136</v>
      </c>
      <c r="C44">
        <v>129.97640535961801</v>
      </c>
      <c r="D44">
        <f t="shared" si="0"/>
        <v>133.75</v>
      </c>
      <c r="E44">
        <f t="shared" si="1"/>
        <v>127.4362749627804</v>
      </c>
    </row>
    <row r="45" spans="1:5" x14ac:dyDescent="0.25">
      <c r="A45">
        <v>92</v>
      </c>
      <c r="B45">
        <v>139.6</v>
      </c>
      <c r="C45">
        <v>136.37673391857899</v>
      </c>
      <c r="D45">
        <f t="shared" si="0"/>
        <v>137.80000000000001</v>
      </c>
      <c r="E45">
        <f t="shared" si="1"/>
        <v>133.17656963909849</v>
      </c>
    </row>
    <row r="46" spans="1:5" x14ac:dyDescent="0.25">
      <c r="A46">
        <v>97</v>
      </c>
      <c r="B46">
        <v>145.9</v>
      </c>
      <c r="C46">
        <v>143.77711381487759</v>
      </c>
      <c r="D46">
        <f t="shared" si="0"/>
        <v>142.75</v>
      </c>
      <c r="E46">
        <f t="shared" si="1"/>
        <v>140.07692386672829</v>
      </c>
    </row>
    <row r="47" spans="1:5" x14ac:dyDescent="0.25">
      <c r="A47">
        <v>102</v>
      </c>
      <c r="B47">
        <v>152.4</v>
      </c>
      <c r="C47">
        <v>150.48745828841319</v>
      </c>
      <c r="D47">
        <f t="shared" si="0"/>
        <v>149.15</v>
      </c>
      <c r="E47">
        <f t="shared" si="1"/>
        <v>147.13228605164539</v>
      </c>
    </row>
    <row r="48" spans="1:5" x14ac:dyDescent="0.25">
      <c r="A48">
        <v>107</v>
      </c>
      <c r="B48">
        <v>154.9</v>
      </c>
      <c r="C48">
        <v>156.5377688793059</v>
      </c>
      <c r="D48">
        <f t="shared" si="0"/>
        <v>153.65</v>
      </c>
      <c r="E48">
        <f t="shared" si="1"/>
        <v>153.51261358385955</v>
      </c>
    </row>
    <row r="49" spans="1:5" x14ac:dyDescent="0.25">
      <c r="A49">
        <v>112</v>
      </c>
      <c r="B49">
        <v>160.19999999999999</v>
      </c>
      <c r="C49">
        <v>161.9480466143026</v>
      </c>
      <c r="D49">
        <f t="shared" si="0"/>
        <v>157.55000000000001</v>
      </c>
      <c r="E49">
        <f t="shared" si="1"/>
        <v>159.24290774680424</v>
      </c>
    </row>
    <row r="50" spans="1:5" x14ac:dyDescent="0.25">
      <c r="C50" s="1"/>
    </row>
    <row r="51" spans="1:5" x14ac:dyDescent="0.25">
      <c r="C51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05C7-A302-43A7-834B-6295B42D8D35}">
  <dimension ref="A1:F53"/>
  <sheetViews>
    <sheetView workbookViewId="0">
      <selection activeCell="F3" sqref="F3"/>
    </sheetView>
  </sheetViews>
  <sheetFormatPr defaultRowHeight="15" x14ac:dyDescent="0.25"/>
  <cols>
    <col min="1" max="1" width="11.140625" bestFit="1" customWidth="1"/>
    <col min="2" max="2" width="17.85546875" customWidth="1"/>
    <col min="3" max="3" width="12" bestFit="1" customWidth="1"/>
    <col min="4" max="4" width="22.85546875" bestFit="1" customWidth="1"/>
    <col min="8" max="8" width="22.85546875" bestFit="1" customWidth="1"/>
  </cols>
  <sheetData>
    <row r="1" spans="1:6" x14ac:dyDescent="0.25">
      <c r="A1" t="s">
        <v>0</v>
      </c>
      <c r="B1" t="s">
        <v>7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13.5</v>
      </c>
      <c r="C2">
        <v>13.5</v>
      </c>
    </row>
    <row r="3" spans="1:6" x14ac:dyDescent="0.25">
      <c r="A3">
        <v>1</v>
      </c>
      <c r="B3">
        <v>13.3</v>
      </c>
      <c r="C3">
        <v>14.140024663763541</v>
      </c>
      <c r="D3">
        <f>0.5*(B3+B2)*($A$3-$A$2)</f>
        <v>13.4</v>
      </c>
      <c r="E3">
        <f>0.5*(C3+C2)*($A$3-$A$2)</f>
        <v>13.82001233188177</v>
      </c>
      <c r="F3">
        <f>100*ABS(SUM(D:D)-SUM(E:E))/SUM(E:E)</f>
        <v>0.11583101918587448</v>
      </c>
    </row>
    <row r="4" spans="1:6" x14ac:dyDescent="0.25">
      <c r="A4">
        <v>2</v>
      </c>
      <c r="B4">
        <v>14.8</v>
      </c>
      <c r="C4">
        <v>14.800050098269679</v>
      </c>
      <c r="D4">
        <f t="shared" ref="D4:D53" si="0">0.5*(B4+B3)*($A$3-$A$2)</f>
        <v>14.05</v>
      </c>
      <c r="E4">
        <f t="shared" ref="E4:E53" si="1">0.5*(C4+C3)*($A$3-$A$2)</f>
        <v>14.47003738101661</v>
      </c>
    </row>
    <row r="5" spans="1:6" x14ac:dyDescent="0.25">
      <c r="A5">
        <v>3</v>
      </c>
      <c r="B5">
        <v>15.3</v>
      </c>
      <c r="C5">
        <v>15.480076303518439</v>
      </c>
      <c r="D5">
        <f t="shared" si="0"/>
        <v>15.05</v>
      </c>
      <c r="E5">
        <f t="shared" si="1"/>
        <v>15.140063200894058</v>
      </c>
    </row>
    <row r="6" spans="1:6" x14ac:dyDescent="0.25">
      <c r="A6">
        <v>4</v>
      </c>
      <c r="B6">
        <v>15.2</v>
      </c>
      <c r="C6">
        <v>16.190103664881111</v>
      </c>
      <c r="D6">
        <f t="shared" si="0"/>
        <v>15.25</v>
      </c>
      <c r="E6">
        <f t="shared" si="1"/>
        <v>15.835089984199776</v>
      </c>
    </row>
    <row r="7" spans="1:6" x14ac:dyDescent="0.25">
      <c r="A7">
        <v>5</v>
      </c>
      <c r="B7">
        <v>16.5</v>
      </c>
      <c r="C7">
        <v>16.930132182357699</v>
      </c>
      <c r="D7">
        <f t="shared" si="0"/>
        <v>15.85</v>
      </c>
      <c r="E7">
        <f t="shared" si="1"/>
        <v>16.560117923619405</v>
      </c>
    </row>
    <row r="8" spans="1:6" x14ac:dyDescent="0.25">
      <c r="A8">
        <v>7</v>
      </c>
      <c r="B8">
        <v>17.8</v>
      </c>
      <c r="C8">
        <v>18.500192685652632</v>
      </c>
      <c r="D8">
        <f t="shared" si="0"/>
        <v>17.149999999999999</v>
      </c>
      <c r="E8">
        <f t="shared" si="1"/>
        <v>17.715162434005165</v>
      </c>
    </row>
    <row r="9" spans="1:6" x14ac:dyDescent="0.25">
      <c r="A9">
        <v>9</v>
      </c>
      <c r="B9">
        <v>19.5</v>
      </c>
      <c r="C9">
        <v>20.180257428031911</v>
      </c>
      <c r="D9">
        <f t="shared" si="0"/>
        <v>18.649999999999999</v>
      </c>
      <c r="E9">
        <f t="shared" si="1"/>
        <v>19.340225056842272</v>
      </c>
    </row>
    <row r="10" spans="1:6" x14ac:dyDescent="0.25">
      <c r="A10">
        <v>11</v>
      </c>
      <c r="B10">
        <v>21.2</v>
      </c>
      <c r="C10">
        <v>21.980326794866851</v>
      </c>
      <c r="D10">
        <f t="shared" si="0"/>
        <v>20.350000000000001</v>
      </c>
      <c r="E10">
        <f t="shared" si="1"/>
        <v>21.080292111449381</v>
      </c>
    </row>
    <row r="11" spans="1:6" x14ac:dyDescent="0.25">
      <c r="A11">
        <v>13</v>
      </c>
      <c r="B11">
        <v>22.9</v>
      </c>
      <c r="C11">
        <v>23.910401171528768</v>
      </c>
      <c r="D11">
        <f t="shared" si="0"/>
        <v>22.049999999999997</v>
      </c>
      <c r="E11">
        <f t="shared" si="1"/>
        <v>22.945363983197808</v>
      </c>
    </row>
    <row r="12" spans="1:6" x14ac:dyDescent="0.25">
      <c r="A12">
        <v>15</v>
      </c>
      <c r="B12">
        <v>25.3</v>
      </c>
      <c r="C12">
        <v>25.970480558017648</v>
      </c>
      <c r="D12">
        <f t="shared" si="0"/>
        <v>24.1</v>
      </c>
      <c r="E12">
        <f t="shared" si="1"/>
        <v>24.940440864773208</v>
      </c>
    </row>
    <row r="13" spans="1:6" x14ac:dyDescent="0.25">
      <c r="A13">
        <v>17</v>
      </c>
      <c r="B13">
        <v>27.4</v>
      </c>
      <c r="C13">
        <v>28.150564568962199</v>
      </c>
      <c r="D13">
        <f t="shared" si="0"/>
        <v>26.35</v>
      </c>
      <c r="E13">
        <f t="shared" si="1"/>
        <v>27.060522563489926</v>
      </c>
    </row>
    <row r="14" spans="1:6" x14ac:dyDescent="0.25">
      <c r="A14">
        <v>19</v>
      </c>
      <c r="B14">
        <v>29.5</v>
      </c>
      <c r="C14">
        <v>30.480654360476318</v>
      </c>
      <c r="D14">
        <f t="shared" si="0"/>
        <v>28.45</v>
      </c>
      <c r="E14">
        <f t="shared" si="1"/>
        <v>29.315609464719259</v>
      </c>
    </row>
    <row r="15" spans="1:6" x14ac:dyDescent="0.25">
      <c r="A15">
        <v>21</v>
      </c>
      <c r="B15">
        <v>31.8</v>
      </c>
      <c r="C15">
        <v>32.930748776446109</v>
      </c>
      <c r="D15">
        <f t="shared" si="0"/>
        <v>30.65</v>
      </c>
      <c r="E15">
        <f t="shared" si="1"/>
        <v>31.705701568461215</v>
      </c>
    </row>
    <row r="16" spans="1:6" x14ac:dyDescent="0.25">
      <c r="A16">
        <v>24</v>
      </c>
      <c r="B16">
        <v>34.9</v>
      </c>
      <c r="C16">
        <v>36.860900227369072</v>
      </c>
      <c r="D16">
        <f t="shared" si="0"/>
        <v>33.35</v>
      </c>
      <c r="E16">
        <f t="shared" si="1"/>
        <v>34.89582450190759</v>
      </c>
    </row>
    <row r="17" spans="1:5" x14ac:dyDescent="0.25">
      <c r="A17">
        <v>27</v>
      </c>
      <c r="B17">
        <v>37.799999999999997</v>
      </c>
      <c r="C17">
        <v>41.091063239431193</v>
      </c>
      <c r="D17">
        <f t="shared" si="0"/>
        <v>36.349999999999994</v>
      </c>
      <c r="E17">
        <f t="shared" si="1"/>
        <v>38.975981733400133</v>
      </c>
    </row>
    <row r="18" spans="1:5" x14ac:dyDescent="0.25">
      <c r="A18">
        <v>30</v>
      </c>
      <c r="B18">
        <v>42.2</v>
      </c>
      <c r="C18">
        <v>45.611237427261173</v>
      </c>
      <c r="D18">
        <f t="shared" si="0"/>
        <v>40</v>
      </c>
      <c r="E18">
        <f t="shared" si="1"/>
        <v>43.351150333346183</v>
      </c>
    </row>
    <row r="19" spans="1:5" x14ac:dyDescent="0.25">
      <c r="A19">
        <v>33</v>
      </c>
      <c r="B19">
        <v>46.3</v>
      </c>
      <c r="C19">
        <v>50.411422405487677</v>
      </c>
      <c r="D19">
        <f t="shared" si="0"/>
        <v>44.25</v>
      </c>
      <c r="E19">
        <f t="shared" si="1"/>
        <v>48.011329916374422</v>
      </c>
    </row>
    <row r="20" spans="1:5" x14ac:dyDescent="0.25">
      <c r="A20">
        <v>36</v>
      </c>
      <c r="B20">
        <v>50.5</v>
      </c>
      <c r="C20">
        <v>55.461617017996844</v>
      </c>
      <c r="D20">
        <f t="shared" si="0"/>
        <v>48.4</v>
      </c>
      <c r="E20">
        <f t="shared" si="1"/>
        <v>52.936519711742264</v>
      </c>
    </row>
    <row r="21" spans="1:5" x14ac:dyDescent="0.25">
      <c r="A21">
        <v>39</v>
      </c>
      <c r="B21">
        <v>56.7</v>
      </c>
      <c r="C21">
        <v>60.761821264788622</v>
      </c>
      <c r="D21">
        <f t="shared" si="0"/>
        <v>53.6</v>
      </c>
      <c r="E21">
        <f t="shared" si="1"/>
        <v>58.111719141392733</v>
      </c>
    </row>
    <row r="22" spans="1:5" x14ac:dyDescent="0.25">
      <c r="A22">
        <v>42</v>
      </c>
      <c r="B22">
        <v>62.5</v>
      </c>
      <c r="C22">
        <v>66.262033219006511</v>
      </c>
      <c r="D22">
        <f t="shared" si="0"/>
        <v>59.6</v>
      </c>
      <c r="E22">
        <f t="shared" si="1"/>
        <v>63.511927241897567</v>
      </c>
    </row>
    <row r="23" spans="1:5" x14ac:dyDescent="0.25">
      <c r="A23">
        <v>45</v>
      </c>
      <c r="B23">
        <v>68.5</v>
      </c>
      <c r="C23">
        <v>71.942252109907898</v>
      </c>
      <c r="D23">
        <f t="shared" si="0"/>
        <v>65.5</v>
      </c>
      <c r="E23">
        <f t="shared" si="1"/>
        <v>69.102142664457205</v>
      </c>
    </row>
    <row r="24" spans="1:5" x14ac:dyDescent="0.25">
      <c r="A24">
        <v>48</v>
      </c>
      <c r="B24">
        <v>73.900000000000006</v>
      </c>
      <c r="C24">
        <v>77.792477552121468</v>
      </c>
      <c r="D24">
        <f t="shared" si="0"/>
        <v>71.2</v>
      </c>
      <c r="E24">
        <f t="shared" si="1"/>
        <v>74.867364831014683</v>
      </c>
    </row>
    <row r="25" spans="1:5" x14ac:dyDescent="0.25">
      <c r="A25">
        <v>51</v>
      </c>
      <c r="B25">
        <v>81.7</v>
      </c>
      <c r="C25">
        <v>83.7527072334194</v>
      </c>
      <c r="D25">
        <f t="shared" si="0"/>
        <v>77.800000000000011</v>
      </c>
      <c r="E25">
        <f t="shared" si="1"/>
        <v>80.772592392770434</v>
      </c>
    </row>
    <row r="26" spans="1:5" x14ac:dyDescent="0.25">
      <c r="A26">
        <v>54</v>
      </c>
      <c r="B26">
        <v>89.1</v>
      </c>
      <c r="C26">
        <v>89.81294076843038</v>
      </c>
      <c r="D26">
        <f t="shared" si="0"/>
        <v>85.4</v>
      </c>
      <c r="E26">
        <f t="shared" si="1"/>
        <v>86.78282400092489</v>
      </c>
    </row>
    <row r="27" spans="1:5" x14ac:dyDescent="0.25">
      <c r="A27">
        <v>57</v>
      </c>
      <c r="B27">
        <v>99.3</v>
      </c>
      <c r="C27">
        <v>95.933176615669197</v>
      </c>
      <c r="D27">
        <f t="shared" si="0"/>
        <v>94.199999999999989</v>
      </c>
      <c r="E27">
        <f t="shared" si="1"/>
        <v>92.873058692049796</v>
      </c>
    </row>
    <row r="28" spans="1:5" x14ac:dyDescent="0.25">
      <c r="A28">
        <v>60</v>
      </c>
      <c r="B28">
        <v>106.3</v>
      </c>
      <c r="C28">
        <v>102.0934140043932</v>
      </c>
      <c r="D28">
        <f t="shared" si="0"/>
        <v>102.8</v>
      </c>
      <c r="E28">
        <f t="shared" si="1"/>
        <v>99.013295310031197</v>
      </c>
    </row>
    <row r="29" spans="1:5" x14ac:dyDescent="0.25">
      <c r="A29">
        <v>63</v>
      </c>
      <c r="B29">
        <v>113.8</v>
      </c>
      <c r="C29">
        <v>108.26365177848859</v>
      </c>
      <c r="D29">
        <f t="shared" si="0"/>
        <v>110.05</v>
      </c>
      <c r="E29">
        <f t="shared" si="1"/>
        <v>105.1785328914409</v>
      </c>
    </row>
    <row r="30" spans="1:5" x14ac:dyDescent="0.25">
      <c r="A30">
        <v>66</v>
      </c>
      <c r="B30">
        <v>121.3</v>
      </c>
      <c r="C30">
        <v>114.40388839646999</v>
      </c>
      <c r="D30">
        <f t="shared" si="0"/>
        <v>117.55</v>
      </c>
      <c r="E30">
        <f t="shared" si="1"/>
        <v>111.33377008747929</v>
      </c>
    </row>
    <row r="31" spans="1:5" x14ac:dyDescent="0.25">
      <c r="A31">
        <v>69</v>
      </c>
      <c r="B31">
        <v>128.19999999999999</v>
      </c>
      <c r="C31">
        <v>120.5041234729662</v>
      </c>
      <c r="D31">
        <f t="shared" si="0"/>
        <v>124.75</v>
      </c>
      <c r="E31">
        <f t="shared" si="1"/>
        <v>117.4540059347181</v>
      </c>
    </row>
    <row r="32" spans="1:5" x14ac:dyDescent="0.25">
      <c r="A32">
        <v>72</v>
      </c>
      <c r="B32">
        <v>135</v>
      </c>
      <c r="C32">
        <v>126.5443562372346</v>
      </c>
      <c r="D32">
        <f t="shared" si="0"/>
        <v>131.6</v>
      </c>
      <c r="E32">
        <f t="shared" si="1"/>
        <v>123.5242398551004</v>
      </c>
    </row>
    <row r="33" spans="1:5" x14ac:dyDescent="0.25">
      <c r="A33">
        <v>75</v>
      </c>
      <c r="B33">
        <v>143.80000000000001</v>
      </c>
      <c r="C33">
        <v>132.48458514778989</v>
      </c>
      <c r="D33">
        <f t="shared" si="0"/>
        <v>139.4</v>
      </c>
      <c r="E33">
        <f t="shared" si="1"/>
        <v>129.51447069251225</v>
      </c>
    </row>
    <row r="34" spans="1:5" x14ac:dyDescent="0.25">
      <c r="A34">
        <v>78</v>
      </c>
      <c r="B34">
        <v>148.4</v>
      </c>
      <c r="C34">
        <v>138.33481059000351</v>
      </c>
      <c r="D34">
        <f t="shared" si="0"/>
        <v>146.10000000000002</v>
      </c>
      <c r="E34">
        <f t="shared" si="1"/>
        <v>135.4096978688967</v>
      </c>
    </row>
    <row r="35" spans="1:5" x14ac:dyDescent="0.25">
      <c r="A35">
        <v>82</v>
      </c>
      <c r="B35">
        <v>152.30000000000001</v>
      </c>
      <c r="C35">
        <v>145.94510385756681</v>
      </c>
      <c r="D35">
        <f t="shared" si="0"/>
        <v>150.35000000000002</v>
      </c>
      <c r="E35">
        <f t="shared" si="1"/>
        <v>142.13995722378516</v>
      </c>
    </row>
    <row r="36" spans="1:5" x14ac:dyDescent="0.25">
      <c r="A36">
        <v>87</v>
      </c>
      <c r="B36">
        <v>160</v>
      </c>
      <c r="C36">
        <v>155.1154572430537</v>
      </c>
      <c r="D36">
        <f t="shared" si="0"/>
        <v>156.15</v>
      </c>
      <c r="E36">
        <f t="shared" si="1"/>
        <v>150.53028055031024</v>
      </c>
    </row>
    <row r="37" spans="1:5" x14ac:dyDescent="0.25">
      <c r="A37">
        <v>92</v>
      </c>
      <c r="B37">
        <v>168.8</v>
      </c>
      <c r="C37">
        <v>163.87579482831711</v>
      </c>
      <c r="D37">
        <f t="shared" si="0"/>
        <v>164.4</v>
      </c>
      <c r="E37">
        <f t="shared" si="1"/>
        <v>159.4956260356854</v>
      </c>
    </row>
    <row r="38" spans="1:5" x14ac:dyDescent="0.25">
      <c r="A38">
        <v>97</v>
      </c>
      <c r="B38">
        <v>177.6</v>
      </c>
      <c r="C38">
        <v>172.18611507187171</v>
      </c>
      <c r="D38">
        <f t="shared" si="0"/>
        <v>173.2</v>
      </c>
      <c r="E38">
        <f t="shared" si="1"/>
        <v>168.03095495009441</v>
      </c>
    </row>
    <row r="39" spans="1:5" x14ac:dyDescent="0.25">
      <c r="A39">
        <v>102</v>
      </c>
      <c r="B39">
        <v>183.8</v>
      </c>
      <c r="C39">
        <v>180.0264172029751</v>
      </c>
      <c r="D39">
        <f t="shared" si="0"/>
        <v>180.7</v>
      </c>
      <c r="E39">
        <f t="shared" si="1"/>
        <v>176.1062661374234</v>
      </c>
    </row>
    <row r="40" spans="1:5" x14ac:dyDescent="0.25">
      <c r="A40">
        <v>107</v>
      </c>
      <c r="B40">
        <v>191.4</v>
      </c>
      <c r="C40">
        <v>187.40670160699841</v>
      </c>
      <c r="D40">
        <f t="shared" si="0"/>
        <v>187.60000000000002</v>
      </c>
      <c r="E40">
        <f t="shared" si="1"/>
        <v>183.71655940498675</v>
      </c>
    </row>
    <row r="41" spans="1:5" x14ac:dyDescent="0.25">
      <c r="A41">
        <v>114</v>
      </c>
      <c r="B41">
        <v>197.4</v>
      </c>
      <c r="C41">
        <v>196.94706925122361</v>
      </c>
      <c r="D41">
        <f t="shared" si="0"/>
        <v>194.4</v>
      </c>
      <c r="E41">
        <f t="shared" si="1"/>
        <v>192.176885429111</v>
      </c>
    </row>
    <row r="42" spans="1:5" x14ac:dyDescent="0.25">
      <c r="A42">
        <v>121</v>
      </c>
      <c r="B42">
        <v>202.5</v>
      </c>
      <c r="C42">
        <v>205.59740259740261</v>
      </c>
      <c r="D42">
        <f t="shared" si="0"/>
        <v>199.95</v>
      </c>
      <c r="E42">
        <f t="shared" si="1"/>
        <v>201.27223592431312</v>
      </c>
    </row>
    <row r="43" spans="1:5" x14ac:dyDescent="0.25">
      <c r="A43">
        <v>128</v>
      </c>
      <c r="B43">
        <v>209.7</v>
      </c>
      <c r="C43">
        <v>213.3877028016494</v>
      </c>
      <c r="D43">
        <f t="shared" si="0"/>
        <v>206.1</v>
      </c>
      <c r="E43">
        <f t="shared" si="1"/>
        <v>209.49255269952602</v>
      </c>
    </row>
    <row r="44" spans="1:5" x14ac:dyDescent="0.25">
      <c r="A44">
        <v>133</v>
      </c>
      <c r="B44">
        <v>218.3</v>
      </c>
      <c r="C44">
        <v>218.45789818490121</v>
      </c>
      <c r="D44">
        <f t="shared" si="0"/>
        <v>214</v>
      </c>
      <c r="E44">
        <f t="shared" si="1"/>
        <v>215.9228004932753</v>
      </c>
    </row>
    <row r="45" spans="1:5" x14ac:dyDescent="0.25">
      <c r="A45">
        <v>140</v>
      </c>
      <c r="B45">
        <v>225.4</v>
      </c>
      <c r="C45">
        <v>224.90814674939301</v>
      </c>
      <c r="D45">
        <f t="shared" si="0"/>
        <v>221.85000000000002</v>
      </c>
      <c r="E45">
        <f t="shared" si="1"/>
        <v>221.68302246714711</v>
      </c>
    </row>
    <row r="46" spans="1:5" x14ac:dyDescent="0.25">
      <c r="A46">
        <v>147</v>
      </c>
      <c r="B46">
        <v>227</v>
      </c>
      <c r="C46">
        <v>230.65836833789359</v>
      </c>
      <c r="D46">
        <f t="shared" si="0"/>
        <v>226.2</v>
      </c>
      <c r="E46">
        <f t="shared" si="1"/>
        <v>227.78325754364329</v>
      </c>
    </row>
    <row r="47" spans="1:5" x14ac:dyDescent="0.25">
      <c r="A47">
        <v>154</v>
      </c>
      <c r="B47">
        <v>231.4</v>
      </c>
      <c r="C47">
        <v>235.76856526263049</v>
      </c>
      <c r="D47">
        <f t="shared" si="0"/>
        <v>229.2</v>
      </c>
      <c r="E47">
        <f t="shared" si="1"/>
        <v>233.21346680026204</v>
      </c>
    </row>
    <row r="48" spans="1:5" x14ac:dyDescent="0.25">
      <c r="A48">
        <v>161</v>
      </c>
      <c r="B48">
        <v>235.8</v>
      </c>
      <c r="C48">
        <v>240.2887394504605</v>
      </c>
      <c r="D48">
        <f t="shared" si="0"/>
        <v>233.60000000000002</v>
      </c>
      <c r="E48">
        <f t="shared" si="1"/>
        <v>238.02865235654548</v>
      </c>
    </row>
    <row r="49" spans="1:5" x14ac:dyDescent="0.25">
      <c r="A49">
        <v>168</v>
      </c>
      <c r="B49">
        <v>239.4</v>
      </c>
      <c r="C49">
        <v>244.2988939843539</v>
      </c>
      <c r="D49">
        <f t="shared" si="0"/>
        <v>237.60000000000002</v>
      </c>
      <c r="E49">
        <f t="shared" si="1"/>
        <v>242.2938167174072</v>
      </c>
    </row>
    <row r="50" spans="1:5" x14ac:dyDescent="0.25">
      <c r="A50">
        <v>175</v>
      </c>
      <c r="B50">
        <v>239.8</v>
      </c>
      <c r="C50">
        <v>247.82903002042471</v>
      </c>
      <c r="D50">
        <f t="shared" si="0"/>
        <v>239.60000000000002</v>
      </c>
      <c r="E50">
        <f t="shared" si="1"/>
        <v>246.0639620023893</v>
      </c>
    </row>
    <row r="51" spans="1:5" x14ac:dyDescent="0.25">
      <c r="A51">
        <v>206</v>
      </c>
      <c r="B51">
        <v>252.9</v>
      </c>
      <c r="C51">
        <v>259.02946163628661</v>
      </c>
      <c r="D51">
        <f t="shared" si="0"/>
        <v>246.35000000000002</v>
      </c>
      <c r="E51">
        <f t="shared" si="1"/>
        <v>253.42924582835565</v>
      </c>
    </row>
    <row r="52" spans="1:5" x14ac:dyDescent="0.25">
      <c r="A52">
        <v>246</v>
      </c>
      <c r="B52">
        <v>265.39999999999998</v>
      </c>
      <c r="C52">
        <v>266.53975105013677</v>
      </c>
      <c r="D52">
        <f t="shared" si="0"/>
        <v>259.14999999999998</v>
      </c>
      <c r="E52">
        <f t="shared" si="1"/>
        <v>262.78460634321169</v>
      </c>
    </row>
    <row r="53" spans="1:5" x14ac:dyDescent="0.25">
      <c r="A53">
        <v>355</v>
      </c>
      <c r="B53">
        <v>279</v>
      </c>
      <c r="C53">
        <v>272.2299703264095</v>
      </c>
      <c r="D53">
        <f t="shared" si="0"/>
        <v>272.2</v>
      </c>
      <c r="E53">
        <f t="shared" si="1"/>
        <v>269.38486068827314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8A75-EC3D-44FA-8C20-098DE464DF68}">
  <dimension ref="A1:F52"/>
  <sheetViews>
    <sheetView workbookViewId="0">
      <selection activeCell="F3" sqref="F3"/>
    </sheetView>
  </sheetViews>
  <sheetFormatPr defaultRowHeight="15" x14ac:dyDescent="0.25"/>
  <cols>
    <col min="1" max="1" width="11.140625" bestFit="1" customWidth="1"/>
    <col min="2" max="2" width="24.7109375" bestFit="1" customWidth="1"/>
    <col min="3" max="3" width="12" bestFit="1" customWidth="1"/>
    <col min="4" max="4" width="12" customWidth="1"/>
    <col min="8" max="8" width="22.85546875" bestFit="1" customWidth="1"/>
    <col min="9" max="9" width="12" bestFit="1" customWidth="1"/>
  </cols>
  <sheetData>
    <row r="1" spans="1:6" x14ac:dyDescent="0.25">
      <c r="A1" t="s">
        <v>0</v>
      </c>
      <c r="B1" t="s">
        <v>7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13</v>
      </c>
      <c r="C2">
        <v>13</v>
      </c>
    </row>
    <row r="3" spans="1:6" x14ac:dyDescent="0.25">
      <c r="A3">
        <v>1</v>
      </c>
      <c r="B3">
        <v>12.8</v>
      </c>
      <c r="C3">
        <v>13.66003188559834</v>
      </c>
      <c r="D3">
        <f>0.5*(B3+B2)*($A$3-$A$2)</f>
        <v>12.9</v>
      </c>
      <c r="E3">
        <f>0.5*(C3+C2)*($A$3-$A$2)</f>
        <v>13.33001594279917</v>
      </c>
      <c r="F3">
        <f>100*ABS(SUM(D:D)-SUM(E:E))/SUM(E:E)</f>
        <v>1.188101939770136</v>
      </c>
    </row>
    <row r="4" spans="1:6" x14ac:dyDescent="0.25">
      <c r="A4">
        <v>2</v>
      </c>
      <c r="B4">
        <v>15.1</v>
      </c>
      <c r="C4">
        <v>14.34006473742693</v>
      </c>
      <c r="D4">
        <f t="shared" ref="D4:D52" si="0">0.5*(B4+B3)*($A$3-$A$2)</f>
        <v>13.95</v>
      </c>
      <c r="E4">
        <f t="shared" ref="E4:E52" si="1">0.5*(C4+C3)*($A$3-$A$2)</f>
        <v>14.000048311512636</v>
      </c>
    </row>
    <row r="5" spans="1:6" x14ac:dyDescent="0.25">
      <c r="A5">
        <v>3</v>
      </c>
      <c r="B5">
        <v>15.1</v>
      </c>
      <c r="C5">
        <v>15.0500990386009</v>
      </c>
      <c r="D5">
        <f t="shared" si="0"/>
        <v>15.1</v>
      </c>
      <c r="E5">
        <f t="shared" si="1"/>
        <v>14.695081888013915</v>
      </c>
    </row>
    <row r="6" spans="1:6" x14ac:dyDescent="0.25">
      <c r="A6">
        <v>4</v>
      </c>
      <c r="B6">
        <v>15.6</v>
      </c>
      <c r="C6">
        <v>15.79013478912025</v>
      </c>
      <c r="D6">
        <f t="shared" si="0"/>
        <v>15.35</v>
      </c>
      <c r="E6">
        <f t="shared" si="1"/>
        <v>15.420116913860575</v>
      </c>
    </row>
    <row r="7" spans="1:6" x14ac:dyDescent="0.25">
      <c r="A7">
        <v>5</v>
      </c>
      <c r="B7">
        <v>17.7</v>
      </c>
      <c r="C7">
        <v>16.550171505869852</v>
      </c>
      <c r="D7">
        <f t="shared" si="0"/>
        <v>16.649999999999999</v>
      </c>
      <c r="E7">
        <f t="shared" si="1"/>
        <v>16.17015314749505</v>
      </c>
    </row>
    <row r="8" spans="1:6" x14ac:dyDescent="0.25">
      <c r="A8">
        <v>7</v>
      </c>
      <c r="B8">
        <v>19.2</v>
      </c>
      <c r="C8">
        <v>18.180250253635439</v>
      </c>
      <c r="D8">
        <f t="shared" si="0"/>
        <v>18.45</v>
      </c>
      <c r="E8">
        <f t="shared" si="1"/>
        <v>17.365210879752645</v>
      </c>
    </row>
    <row r="9" spans="1:6" x14ac:dyDescent="0.25">
      <c r="A9">
        <v>9</v>
      </c>
      <c r="B9">
        <v>20.6</v>
      </c>
      <c r="C9">
        <v>19.93033479878255</v>
      </c>
      <c r="D9">
        <f t="shared" si="0"/>
        <v>19.899999999999999</v>
      </c>
      <c r="E9">
        <f t="shared" si="1"/>
        <v>19.055292526208994</v>
      </c>
    </row>
    <row r="10" spans="1:6" x14ac:dyDescent="0.25">
      <c r="A10">
        <v>11</v>
      </c>
      <c r="B10">
        <v>22.6</v>
      </c>
      <c r="C10">
        <v>21.80042514131117</v>
      </c>
      <c r="D10">
        <f t="shared" si="0"/>
        <v>21.6</v>
      </c>
      <c r="E10">
        <f t="shared" si="1"/>
        <v>20.86537997004686</v>
      </c>
    </row>
    <row r="11" spans="1:6" x14ac:dyDescent="0.25">
      <c r="A11">
        <v>13</v>
      </c>
      <c r="B11">
        <v>24.9</v>
      </c>
      <c r="C11">
        <v>23.810522247451569</v>
      </c>
      <c r="D11">
        <f t="shared" si="0"/>
        <v>23.75</v>
      </c>
      <c r="E11">
        <f t="shared" si="1"/>
        <v>22.805473694381369</v>
      </c>
    </row>
    <row r="12" spans="1:6" x14ac:dyDescent="0.25">
      <c r="A12">
        <v>15</v>
      </c>
      <c r="B12">
        <v>27.4</v>
      </c>
      <c r="C12">
        <v>25.950625634088599</v>
      </c>
      <c r="D12">
        <f t="shared" si="0"/>
        <v>26.15</v>
      </c>
      <c r="E12">
        <f t="shared" si="1"/>
        <v>24.880573940770084</v>
      </c>
    </row>
    <row r="13" spans="1:6" x14ac:dyDescent="0.25">
      <c r="A13">
        <v>17</v>
      </c>
      <c r="B13">
        <v>30</v>
      </c>
      <c r="C13">
        <v>28.230735784337408</v>
      </c>
      <c r="D13">
        <f t="shared" si="0"/>
        <v>28.7</v>
      </c>
      <c r="E13">
        <f t="shared" si="1"/>
        <v>27.090680709213004</v>
      </c>
    </row>
    <row r="14" spans="1:6" x14ac:dyDescent="0.25">
      <c r="A14">
        <v>19</v>
      </c>
      <c r="B14">
        <v>31.4</v>
      </c>
      <c r="C14">
        <v>30.630851731967731</v>
      </c>
      <c r="D14">
        <f t="shared" si="0"/>
        <v>30.7</v>
      </c>
      <c r="E14">
        <f t="shared" si="1"/>
        <v>29.430793758152568</v>
      </c>
    </row>
    <row r="15" spans="1:6" x14ac:dyDescent="0.25">
      <c r="A15">
        <v>21</v>
      </c>
      <c r="B15">
        <v>32.9</v>
      </c>
      <c r="C15">
        <v>33.170974443209808</v>
      </c>
      <c r="D15">
        <f t="shared" si="0"/>
        <v>32.15</v>
      </c>
      <c r="E15">
        <f t="shared" si="1"/>
        <v>31.900913087588769</v>
      </c>
    </row>
    <row r="16" spans="1:6" x14ac:dyDescent="0.25">
      <c r="A16">
        <v>24</v>
      </c>
      <c r="B16">
        <v>35.700000000000003</v>
      </c>
      <c r="C16">
        <v>37.211169621720863</v>
      </c>
      <c r="D16">
        <f t="shared" si="0"/>
        <v>34.299999999999997</v>
      </c>
      <c r="E16">
        <f t="shared" si="1"/>
        <v>35.191072032465335</v>
      </c>
    </row>
    <row r="17" spans="1:5" x14ac:dyDescent="0.25">
      <c r="A17">
        <v>27</v>
      </c>
      <c r="B17">
        <v>39.5</v>
      </c>
      <c r="C17">
        <v>41.541378810570563</v>
      </c>
      <c r="D17">
        <f t="shared" si="0"/>
        <v>37.6</v>
      </c>
      <c r="E17">
        <f t="shared" si="1"/>
        <v>39.376274216145717</v>
      </c>
    </row>
    <row r="18" spans="1:5" x14ac:dyDescent="0.25">
      <c r="A18">
        <v>30</v>
      </c>
      <c r="B18">
        <v>43.7</v>
      </c>
      <c r="C18">
        <v>46.111599594183303</v>
      </c>
      <c r="D18">
        <f t="shared" si="0"/>
        <v>41.6</v>
      </c>
      <c r="E18">
        <f t="shared" si="1"/>
        <v>43.826489202376933</v>
      </c>
    </row>
    <row r="19" spans="1:5" x14ac:dyDescent="0.25">
      <c r="A19">
        <v>33</v>
      </c>
      <c r="B19">
        <v>47.9</v>
      </c>
      <c r="C19">
        <v>50.93183245567419</v>
      </c>
      <c r="D19">
        <f t="shared" si="0"/>
        <v>45.8</v>
      </c>
      <c r="E19">
        <f t="shared" si="1"/>
        <v>48.52171602492875</v>
      </c>
    </row>
    <row r="20" spans="1:5" x14ac:dyDescent="0.25">
      <c r="A20">
        <v>36</v>
      </c>
      <c r="B20">
        <v>52</v>
      </c>
      <c r="C20">
        <v>55.942074496352483</v>
      </c>
      <c r="D20">
        <f t="shared" si="0"/>
        <v>49.95</v>
      </c>
      <c r="E20">
        <f t="shared" si="1"/>
        <v>53.436953476013336</v>
      </c>
    </row>
    <row r="21" spans="1:5" x14ac:dyDescent="0.25">
      <c r="A21">
        <v>39</v>
      </c>
      <c r="B21">
        <v>57.7</v>
      </c>
      <c r="C21">
        <v>61.132325233103053</v>
      </c>
      <c r="D21">
        <f t="shared" si="0"/>
        <v>54.85</v>
      </c>
      <c r="E21">
        <f t="shared" si="1"/>
        <v>58.537199864727768</v>
      </c>
    </row>
    <row r="22" spans="1:5" x14ac:dyDescent="0.25">
      <c r="A22">
        <v>42</v>
      </c>
      <c r="B22">
        <v>62.9</v>
      </c>
      <c r="C22">
        <v>66.462582733465382</v>
      </c>
      <c r="D22">
        <f t="shared" si="0"/>
        <v>60.3</v>
      </c>
      <c r="E22">
        <f t="shared" si="1"/>
        <v>63.797453983284214</v>
      </c>
    </row>
    <row r="23" spans="1:5" x14ac:dyDescent="0.25">
      <c r="A23">
        <v>45</v>
      </c>
      <c r="B23">
        <v>68.400000000000006</v>
      </c>
      <c r="C23">
        <v>71.90284554809412</v>
      </c>
      <c r="D23">
        <f t="shared" si="0"/>
        <v>65.650000000000006</v>
      </c>
      <c r="E23">
        <f t="shared" si="1"/>
        <v>69.182714140779751</v>
      </c>
    </row>
    <row r="24" spans="1:5" x14ac:dyDescent="0.25">
      <c r="A24">
        <v>48</v>
      </c>
      <c r="B24">
        <v>74.599999999999994</v>
      </c>
      <c r="C24">
        <v>77.423112227643855</v>
      </c>
      <c r="D24">
        <f t="shared" si="0"/>
        <v>71.5</v>
      </c>
      <c r="E24">
        <f t="shared" si="1"/>
        <v>74.662978887868988</v>
      </c>
    </row>
    <row r="25" spans="1:5" x14ac:dyDescent="0.25">
      <c r="A25">
        <v>51</v>
      </c>
      <c r="B25">
        <v>78.400000000000006</v>
      </c>
      <c r="C25">
        <v>82.973380356538968</v>
      </c>
      <c r="D25">
        <f t="shared" si="0"/>
        <v>76.5</v>
      </c>
      <c r="E25">
        <f t="shared" si="1"/>
        <v>80.198246292091412</v>
      </c>
    </row>
    <row r="26" spans="1:5" x14ac:dyDescent="0.25">
      <c r="A26">
        <v>54</v>
      </c>
      <c r="B26">
        <v>85.8</v>
      </c>
      <c r="C26">
        <v>88.533648968549201</v>
      </c>
      <c r="D26">
        <f t="shared" si="0"/>
        <v>82.1</v>
      </c>
      <c r="E26">
        <f t="shared" si="1"/>
        <v>85.753514662544092</v>
      </c>
    </row>
    <row r="27" spans="1:5" x14ac:dyDescent="0.25">
      <c r="A27">
        <v>57</v>
      </c>
      <c r="B27">
        <v>96</v>
      </c>
      <c r="C27">
        <v>94.073916614329192</v>
      </c>
      <c r="D27">
        <f t="shared" si="0"/>
        <v>90.9</v>
      </c>
      <c r="E27">
        <f t="shared" si="1"/>
        <v>91.303782791439204</v>
      </c>
    </row>
    <row r="28" spans="1:5" x14ac:dyDescent="0.25">
      <c r="A28">
        <v>60</v>
      </c>
      <c r="B28">
        <v>99.8</v>
      </c>
      <c r="C28">
        <v>99.56418184453355</v>
      </c>
      <c r="D28">
        <f t="shared" si="0"/>
        <v>97.9</v>
      </c>
      <c r="E28">
        <f t="shared" si="1"/>
        <v>96.819049229431371</v>
      </c>
    </row>
    <row r="29" spans="1:5" x14ac:dyDescent="0.25">
      <c r="A29">
        <v>63</v>
      </c>
      <c r="B29">
        <v>105.6</v>
      </c>
      <c r="C29">
        <v>104.984443692932</v>
      </c>
      <c r="D29">
        <f t="shared" si="0"/>
        <v>102.69999999999999</v>
      </c>
      <c r="E29">
        <f t="shared" si="1"/>
        <v>102.27431276873278</v>
      </c>
    </row>
    <row r="30" spans="1:5" x14ac:dyDescent="0.25">
      <c r="A30">
        <v>66</v>
      </c>
      <c r="B30">
        <v>110.4</v>
      </c>
      <c r="C30">
        <v>110.3147011932944</v>
      </c>
      <c r="D30">
        <f t="shared" si="0"/>
        <v>108</v>
      </c>
      <c r="E30">
        <f t="shared" si="1"/>
        <v>107.6495724431132</v>
      </c>
    </row>
    <row r="31" spans="1:5" x14ac:dyDescent="0.25">
      <c r="A31">
        <v>69</v>
      </c>
      <c r="B31">
        <v>118.8</v>
      </c>
      <c r="C31">
        <v>115.5249528962752</v>
      </c>
      <c r="D31">
        <f t="shared" si="0"/>
        <v>114.6</v>
      </c>
      <c r="E31">
        <f t="shared" si="1"/>
        <v>112.9198270447848</v>
      </c>
    </row>
    <row r="32" spans="1:5" x14ac:dyDescent="0.25">
      <c r="A32">
        <v>72</v>
      </c>
      <c r="B32">
        <v>124.7</v>
      </c>
      <c r="C32">
        <v>120.60519831875941</v>
      </c>
      <c r="D32">
        <f t="shared" si="0"/>
        <v>121.75</v>
      </c>
      <c r="E32">
        <f t="shared" si="1"/>
        <v>118.0650756075173</v>
      </c>
    </row>
    <row r="33" spans="1:5" x14ac:dyDescent="0.25">
      <c r="A33">
        <v>75</v>
      </c>
      <c r="B33">
        <v>131.5</v>
      </c>
      <c r="C33">
        <v>125.5554374607469</v>
      </c>
      <c r="D33">
        <f t="shared" si="0"/>
        <v>128.1</v>
      </c>
      <c r="E33">
        <f t="shared" si="1"/>
        <v>123.08031788975316</v>
      </c>
    </row>
    <row r="34" spans="1:5" x14ac:dyDescent="0.25">
      <c r="A34">
        <v>78</v>
      </c>
      <c r="B34">
        <v>136</v>
      </c>
      <c r="C34">
        <v>130.34566887289239</v>
      </c>
      <c r="D34">
        <f t="shared" si="0"/>
        <v>133.75</v>
      </c>
      <c r="E34">
        <f t="shared" si="1"/>
        <v>127.95055316681965</v>
      </c>
    </row>
    <row r="35" spans="1:5" x14ac:dyDescent="0.25">
      <c r="A35">
        <v>82</v>
      </c>
      <c r="B35">
        <v>139.80000000000001</v>
      </c>
      <c r="C35">
        <v>136.48596550558</v>
      </c>
      <c r="D35">
        <f t="shared" si="0"/>
        <v>137.9</v>
      </c>
      <c r="E35">
        <f t="shared" si="1"/>
        <v>133.41581718923618</v>
      </c>
    </row>
    <row r="36" spans="1:5" x14ac:dyDescent="0.25">
      <c r="A36">
        <v>87</v>
      </c>
      <c r="B36">
        <v>146.30000000000001</v>
      </c>
      <c r="C36">
        <v>143.7463162471617</v>
      </c>
      <c r="D36">
        <f t="shared" si="0"/>
        <v>143.05000000000001</v>
      </c>
      <c r="E36">
        <f t="shared" si="1"/>
        <v>140.11614087637085</v>
      </c>
    </row>
    <row r="37" spans="1:5" x14ac:dyDescent="0.25">
      <c r="A37">
        <v>92</v>
      </c>
      <c r="B37">
        <v>153.1</v>
      </c>
      <c r="C37">
        <v>150.5366442823325</v>
      </c>
      <c r="D37">
        <f t="shared" si="0"/>
        <v>149.69999999999999</v>
      </c>
      <c r="E37">
        <f t="shared" si="1"/>
        <v>147.14148026474709</v>
      </c>
    </row>
    <row r="38" spans="1:5" x14ac:dyDescent="0.25">
      <c r="A38">
        <v>97</v>
      </c>
      <c r="B38">
        <v>155.80000000000001</v>
      </c>
      <c r="C38">
        <v>156.8369486448621</v>
      </c>
      <c r="D38">
        <f t="shared" si="0"/>
        <v>154.44999999999999</v>
      </c>
      <c r="E38">
        <f t="shared" si="1"/>
        <v>153.68679646359732</v>
      </c>
    </row>
    <row r="39" spans="1:5" x14ac:dyDescent="0.25">
      <c r="A39">
        <v>102</v>
      </c>
      <c r="B39">
        <v>161.4</v>
      </c>
      <c r="C39">
        <v>162.66723030098069</v>
      </c>
      <c r="D39">
        <f t="shared" si="0"/>
        <v>158.60000000000002</v>
      </c>
      <c r="E39">
        <f t="shared" si="1"/>
        <v>159.7520894729214</v>
      </c>
    </row>
    <row r="40" spans="1:5" x14ac:dyDescent="0.25">
      <c r="A40">
        <v>107</v>
      </c>
      <c r="B40">
        <v>168</v>
      </c>
      <c r="C40">
        <v>168.0474902169187</v>
      </c>
      <c r="D40">
        <f t="shared" si="0"/>
        <v>164.7</v>
      </c>
      <c r="E40">
        <f t="shared" si="1"/>
        <v>165.35736025894971</v>
      </c>
    </row>
    <row r="41" spans="1:5" x14ac:dyDescent="0.25">
      <c r="A41">
        <v>114</v>
      </c>
      <c r="B41">
        <v>172.6</v>
      </c>
      <c r="C41">
        <v>174.83781825208951</v>
      </c>
      <c r="D41">
        <f t="shared" si="0"/>
        <v>170.3</v>
      </c>
      <c r="E41">
        <f t="shared" si="1"/>
        <v>171.44265423450412</v>
      </c>
    </row>
    <row r="42" spans="1:5" x14ac:dyDescent="0.25">
      <c r="A42">
        <v>121</v>
      </c>
      <c r="B42">
        <v>181</v>
      </c>
      <c r="C42">
        <v>180.83810812116531</v>
      </c>
      <c r="D42">
        <f t="shared" si="0"/>
        <v>176.8</v>
      </c>
      <c r="E42">
        <f t="shared" si="1"/>
        <v>177.83796318662741</v>
      </c>
    </row>
    <row r="43" spans="1:5" x14ac:dyDescent="0.25">
      <c r="A43">
        <v>128</v>
      </c>
      <c r="B43">
        <v>185</v>
      </c>
      <c r="C43">
        <v>186.09836223972169</v>
      </c>
      <c r="D43">
        <f t="shared" si="0"/>
        <v>183</v>
      </c>
      <c r="E43">
        <f t="shared" si="1"/>
        <v>183.46823518044351</v>
      </c>
    </row>
    <row r="44" spans="1:5" x14ac:dyDescent="0.25">
      <c r="A44">
        <v>133</v>
      </c>
      <c r="B44">
        <v>186.6</v>
      </c>
      <c r="C44">
        <v>189.44852408328899</v>
      </c>
      <c r="D44">
        <f t="shared" si="0"/>
        <v>185.8</v>
      </c>
      <c r="E44">
        <f t="shared" si="1"/>
        <v>187.77344316150533</v>
      </c>
    </row>
    <row r="45" spans="1:5" x14ac:dyDescent="0.25">
      <c r="A45">
        <v>140</v>
      </c>
      <c r="B45">
        <v>188.2</v>
      </c>
      <c r="C45">
        <v>193.62872602541191</v>
      </c>
      <c r="D45">
        <f t="shared" si="0"/>
        <v>187.39999999999998</v>
      </c>
      <c r="E45">
        <f t="shared" si="1"/>
        <v>191.53862505435046</v>
      </c>
    </row>
    <row r="46" spans="1:5" x14ac:dyDescent="0.25">
      <c r="A46">
        <v>147</v>
      </c>
      <c r="B46">
        <v>188</v>
      </c>
      <c r="C46">
        <v>197.26890187931781</v>
      </c>
      <c r="D46">
        <f t="shared" si="0"/>
        <v>188.1</v>
      </c>
      <c r="E46">
        <f t="shared" si="1"/>
        <v>195.44881395236484</v>
      </c>
    </row>
    <row r="47" spans="1:5" x14ac:dyDescent="0.25">
      <c r="A47">
        <v>154</v>
      </c>
      <c r="B47">
        <v>189.5</v>
      </c>
      <c r="C47">
        <v>200.41905406058271</v>
      </c>
      <c r="D47">
        <f t="shared" si="0"/>
        <v>188.75</v>
      </c>
      <c r="E47">
        <f t="shared" si="1"/>
        <v>198.84397796995026</v>
      </c>
    </row>
    <row r="48" spans="1:5" x14ac:dyDescent="0.25">
      <c r="A48">
        <v>161</v>
      </c>
      <c r="B48">
        <v>192.2</v>
      </c>
      <c r="C48">
        <v>203.1491859510121</v>
      </c>
      <c r="D48">
        <f t="shared" si="0"/>
        <v>190.85</v>
      </c>
      <c r="E48">
        <f t="shared" si="1"/>
        <v>201.7841200057974</v>
      </c>
    </row>
    <row r="49" spans="1:5" x14ac:dyDescent="0.25">
      <c r="A49">
        <v>168</v>
      </c>
      <c r="B49">
        <v>197</v>
      </c>
      <c r="C49">
        <v>205.50929996618191</v>
      </c>
      <c r="D49">
        <f t="shared" si="0"/>
        <v>194.6</v>
      </c>
      <c r="E49">
        <f t="shared" si="1"/>
        <v>204.32924295859701</v>
      </c>
    </row>
    <row r="50" spans="1:5" x14ac:dyDescent="0.25">
      <c r="A50">
        <v>175</v>
      </c>
      <c r="B50">
        <v>200</v>
      </c>
      <c r="C50">
        <v>207.54939852166771</v>
      </c>
      <c r="D50">
        <f t="shared" si="0"/>
        <v>198.5</v>
      </c>
      <c r="E50">
        <f t="shared" si="1"/>
        <v>206.5293492439248</v>
      </c>
    </row>
    <row r="51" spans="1:5" x14ac:dyDescent="0.25">
      <c r="A51">
        <v>182</v>
      </c>
      <c r="B51">
        <v>202.2</v>
      </c>
      <c r="C51">
        <v>209.30948354993001</v>
      </c>
      <c r="D51">
        <f t="shared" si="0"/>
        <v>201.1</v>
      </c>
      <c r="E51">
        <f t="shared" si="1"/>
        <v>208.42944103579885</v>
      </c>
    </row>
    <row r="52" spans="1:5" x14ac:dyDescent="0.25">
      <c r="A52">
        <v>355</v>
      </c>
      <c r="B52">
        <v>226.4</v>
      </c>
      <c r="C52">
        <v>219.76998888835209</v>
      </c>
      <c r="D52">
        <f t="shared" si="0"/>
        <v>214.3</v>
      </c>
      <c r="E52">
        <f t="shared" si="1"/>
        <v>214.53973621914105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752F-6C2E-409F-BDCE-6AA6858CAD64}">
  <dimension ref="A1:F22"/>
  <sheetViews>
    <sheetView workbookViewId="0">
      <selection activeCell="F3" sqref="F3"/>
    </sheetView>
  </sheetViews>
  <sheetFormatPr defaultRowHeight="15" x14ac:dyDescent="0.25"/>
  <cols>
    <col min="1" max="1" width="11.140625" bestFit="1" customWidth="1"/>
    <col min="2" max="2" width="15.42578125" customWidth="1"/>
    <col min="3" max="3" width="12" bestFit="1" customWidth="1"/>
    <col min="4" max="4" width="22.85546875" bestFit="1" customWidth="1"/>
    <col min="8" max="8" width="22.85546875" bestFit="1" customWidth="1"/>
    <col min="9" max="9" width="12" bestFit="1" customWidth="1"/>
  </cols>
  <sheetData>
    <row r="1" spans="1:6" x14ac:dyDescent="0.25">
      <c r="A1" t="s">
        <v>0</v>
      </c>
      <c r="B1" t="s">
        <v>7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267</v>
      </c>
      <c r="C2">
        <v>267</v>
      </c>
    </row>
    <row r="3" spans="1:6" x14ac:dyDescent="0.25">
      <c r="A3">
        <v>1</v>
      </c>
      <c r="B3">
        <v>443</v>
      </c>
      <c r="C3">
        <v>439.03384494293579</v>
      </c>
      <c r="D3">
        <f>0.5*(B3+B2)*($A$3-$A$2)</f>
        <v>355</v>
      </c>
      <c r="E3">
        <f>0.5*(C3+C2)*($A$3-$A$2)</f>
        <v>353.01692247146786</v>
      </c>
      <c r="F3">
        <f>100*ABS(SUM(D:D)-SUM(E:E))/SUM(E:E)</f>
        <v>1.6951984990200757</v>
      </c>
    </row>
    <row r="4" spans="1:6" x14ac:dyDescent="0.25">
      <c r="A4">
        <v>2</v>
      </c>
      <c r="B4">
        <v>658</v>
      </c>
      <c r="C4">
        <v>702.08559622195992</v>
      </c>
      <c r="D4">
        <f t="shared" ref="D4:D22" si="0">0.5*(B4+B3)*($A$3-$A$2)</f>
        <v>550.5</v>
      </c>
      <c r="E4">
        <f t="shared" ref="E4:E22" si="1">0.5*(C4+C3)*($A$3-$A$2)</f>
        <v>570.55972058244788</v>
      </c>
    </row>
    <row r="5" spans="1:6" x14ac:dyDescent="0.25">
      <c r="A5">
        <v>3</v>
      </c>
      <c r="B5">
        <v>961</v>
      </c>
      <c r="C5">
        <v>1080.1599763872489</v>
      </c>
      <c r="D5">
        <f t="shared" si="0"/>
        <v>809.5</v>
      </c>
      <c r="E5">
        <f t="shared" si="1"/>
        <v>891.12278630460446</v>
      </c>
    </row>
    <row r="6" spans="1:6" x14ac:dyDescent="0.25">
      <c r="A6">
        <v>4</v>
      </c>
      <c r="B6">
        <v>1498</v>
      </c>
      <c r="C6">
        <v>1579.2581660763481</v>
      </c>
      <c r="D6">
        <f t="shared" si="0"/>
        <v>1229.5</v>
      </c>
      <c r="E6">
        <f t="shared" si="1"/>
        <v>1329.7090712317986</v>
      </c>
    </row>
    <row r="7" spans="1:6" x14ac:dyDescent="0.25">
      <c r="A7">
        <v>5</v>
      </c>
      <c r="B7">
        <v>2200</v>
      </c>
      <c r="C7">
        <v>2172.374852420307</v>
      </c>
      <c r="D7">
        <f t="shared" si="0"/>
        <v>1849</v>
      </c>
      <c r="E7">
        <f t="shared" si="1"/>
        <v>1875.8165092483275</v>
      </c>
    </row>
    <row r="8" spans="1:6" x14ac:dyDescent="0.25">
      <c r="A8">
        <v>6</v>
      </c>
      <c r="B8">
        <v>2920</v>
      </c>
      <c r="C8">
        <v>2800.4984258166078</v>
      </c>
      <c r="D8">
        <f t="shared" si="0"/>
        <v>2560</v>
      </c>
      <c r="E8">
        <f t="shared" si="1"/>
        <v>2486.4366391184576</v>
      </c>
    </row>
    <row r="9" spans="1:6" x14ac:dyDescent="0.25">
      <c r="A9">
        <v>7</v>
      </c>
      <c r="B9">
        <v>3366</v>
      </c>
      <c r="C9">
        <v>3398.6160960251868</v>
      </c>
      <c r="D9">
        <f t="shared" si="0"/>
        <v>3143</v>
      </c>
      <c r="E9">
        <f t="shared" si="1"/>
        <v>3099.5572609208975</v>
      </c>
    </row>
    <row r="10" spans="1:6" x14ac:dyDescent="0.25">
      <c r="A10">
        <v>8</v>
      </c>
      <c r="B10">
        <v>3758</v>
      </c>
      <c r="C10">
        <v>3914.7176308539952</v>
      </c>
      <c r="D10">
        <f t="shared" si="0"/>
        <v>3562</v>
      </c>
      <c r="E10">
        <f t="shared" si="1"/>
        <v>3656.666863439591</v>
      </c>
    </row>
    <row r="11" spans="1:6" x14ac:dyDescent="0.25">
      <c r="A11">
        <v>9</v>
      </c>
      <c r="B11">
        <v>4092</v>
      </c>
      <c r="C11">
        <v>4327.7988980716254</v>
      </c>
      <c r="D11">
        <f t="shared" si="0"/>
        <v>3925</v>
      </c>
      <c r="E11">
        <f t="shared" si="1"/>
        <v>4121.2582644628101</v>
      </c>
    </row>
    <row r="12" spans="1:6" x14ac:dyDescent="0.25">
      <c r="A12">
        <v>10</v>
      </c>
      <c r="B12">
        <v>4488</v>
      </c>
      <c r="C12">
        <v>4638.8600944510044</v>
      </c>
      <c r="D12">
        <f t="shared" si="0"/>
        <v>4290</v>
      </c>
      <c r="E12">
        <f t="shared" si="1"/>
        <v>4483.3294962613145</v>
      </c>
    </row>
    <row r="13" spans="1:6" x14ac:dyDescent="0.25">
      <c r="A13">
        <v>11</v>
      </c>
      <c r="B13">
        <v>4720</v>
      </c>
      <c r="C13">
        <v>4863.9043683589143</v>
      </c>
      <c r="D13">
        <f t="shared" si="0"/>
        <v>4604</v>
      </c>
      <c r="E13">
        <f t="shared" si="1"/>
        <v>4751.3822314049594</v>
      </c>
    </row>
    <row r="14" spans="1:6" x14ac:dyDescent="0.25">
      <c r="A14">
        <v>12</v>
      </c>
      <c r="B14">
        <v>4864</v>
      </c>
      <c r="C14">
        <v>5020.9352617079894</v>
      </c>
      <c r="D14">
        <f t="shared" si="0"/>
        <v>4792</v>
      </c>
      <c r="E14">
        <f t="shared" si="1"/>
        <v>4942.4198150334523</v>
      </c>
    </row>
    <row r="15" spans="1:6" x14ac:dyDescent="0.25">
      <c r="A15">
        <v>13</v>
      </c>
      <c r="B15">
        <v>4980</v>
      </c>
      <c r="C15">
        <v>5129.9567099567103</v>
      </c>
      <c r="D15">
        <f t="shared" si="0"/>
        <v>4922</v>
      </c>
      <c r="E15">
        <f t="shared" si="1"/>
        <v>5075.4459858323498</v>
      </c>
    </row>
    <row r="16" spans="1:6" x14ac:dyDescent="0.25">
      <c r="A16">
        <v>14</v>
      </c>
      <c r="B16">
        <v>5114</v>
      </c>
      <c r="C16">
        <v>5202.9710743801661</v>
      </c>
      <c r="D16">
        <f t="shared" si="0"/>
        <v>5047</v>
      </c>
      <c r="E16">
        <f t="shared" si="1"/>
        <v>5166.4638921684382</v>
      </c>
    </row>
    <row r="17" spans="1:5" x14ac:dyDescent="0.25">
      <c r="A17">
        <v>15</v>
      </c>
      <c r="B17">
        <v>5176</v>
      </c>
      <c r="C17">
        <v>5251.9807162534444</v>
      </c>
      <c r="D17">
        <f t="shared" si="0"/>
        <v>5145</v>
      </c>
      <c r="E17">
        <f t="shared" si="1"/>
        <v>5227.4758953168057</v>
      </c>
    </row>
    <row r="18" spans="1:5" x14ac:dyDescent="0.25">
      <c r="A18">
        <v>16</v>
      </c>
      <c r="B18">
        <v>5242</v>
      </c>
      <c r="C18">
        <v>5284.9872097599373</v>
      </c>
      <c r="D18">
        <f t="shared" si="0"/>
        <v>5209</v>
      </c>
      <c r="E18">
        <f t="shared" si="1"/>
        <v>5268.4839630066908</v>
      </c>
    </row>
    <row r="19" spans="1:5" x14ac:dyDescent="0.25">
      <c r="A19">
        <v>17</v>
      </c>
      <c r="B19">
        <v>5298</v>
      </c>
      <c r="C19">
        <v>5306.9915387642668</v>
      </c>
      <c r="D19">
        <f t="shared" si="0"/>
        <v>5270</v>
      </c>
      <c r="E19">
        <f t="shared" si="1"/>
        <v>5295.9893742621025</v>
      </c>
    </row>
    <row r="20" spans="1:5" x14ac:dyDescent="0.25">
      <c r="A20">
        <v>18</v>
      </c>
      <c r="B20">
        <v>5352</v>
      </c>
      <c r="C20">
        <v>5321.9944903581272</v>
      </c>
      <c r="D20">
        <f t="shared" si="0"/>
        <v>5325</v>
      </c>
      <c r="E20">
        <f t="shared" si="1"/>
        <v>5314.493014561197</v>
      </c>
    </row>
    <row r="21" spans="1:5" x14ac:dyDescent="0.25">
      <c r="A21">
        <v>19</v>
      </c>
      <c r="B21">
        <v>5360</v>
      </c>
      <c r="C21">
        <v>5330.9962613144426</v>
      </c>
      <c r="D21">
        <f t="shared" si="0"/>
        <v>5356</v>
      </c>
      <c r="E21">
        <f t="shared" si="1"/>
        <v>5326.4953758362844</v>
      </c>
    </row>
    <row r="22" spans="1:5" x14ac:dyDescent="0.25">
      <c r="A22">
        <v>20</v>
      </c>
      <c r="B22">
        <v>5366</v>
      </c>
      <c r="C22">
        <v>5337.9976387249117</v>
      </c>
      <c r="D22">
        <f t="shared" si="0"/>
        <v>5363</v>
      </c>
      <c r="E22">
        <f t="shared" si="1"/>
        <v>5334.4969500196767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1E4E-763B-4193-88C6-0232965A5D54}">
  <dimension ref="A1:F12"/>
  <sheetViews>
    <sheetView zoomScaleNormal="100" workbookViewId="0">
      <selection activeCell="F3" sqref="F3"/>
    </sheetView>
  </sheetViews>
  <sheetFormatPr defaultRowHeight="15" x14ac:dyDescent="0.25"/>
  <cols>
    <col min="1" max="1" width="9.140625" customWidth="1"/>
    <col min="2" max="2" width="18.140625" customWidth="1"/>
    <col min="3" max="3" width="15.5703125" bestFit="1" customWidth="1"/>
    <col min="4" max="4" width="12.85546875" customWidth="1"/>
    <col min="5" max="5" width="12" bestFit="1" customWidth="1"/>
  </cols>
  <sheetData>
    <row r="1" spans="1:6" x14ac:dyDescent="0.25">
      <c r="A1" t="s">
        <v>0</v>
      </c>
      <c r="B1" t="s">
        <v>7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0.11</v>
      </c>
      <c r="C2">
        <v>0.11</v>
      </c>
    </row>
    <row r="3" spans="1:6" x14ac:dyDescent="0.25">
      <c r="A3">
        <v>3</v>
      </c>
      <c r="B3">
        <v>0.68</v>
      </c>
      <c r="C3" s="1">
        <v>0.59805197571626301</v>
      </c>
      <c r="D3">
        <f>0.5*(B3+B2)*($A$3-$A$2)</f>
        <v>1.1850000000000001</v>
      </c>
      <c r="E3">
        <f>0.5*(C3+C2)*($A$3-$A$2)</f>
        <v>1.0620779635743944</v>
      </c>
      <c r="F3">
        <f>100*ABS(SUM(D:D)-SUM(E:E))/SUM(E:E)</f>
        <v>2.146861399244401</v>
      </c>
    </row>
    <row r="4" spans="1:6" x14ac:dyDescent="0.25">
      <c r="A4">
        <v>7</v>
      </c>
      <c r="B4">
        <v>2.95</v>
      </c>
      <c r="C4">
        <v>2.6122664820534598</v>
      </c>
      <c r="D4">
        <f t="shared" ref="D4:D12" si="0">0.5*(B4+B3)*($A$3-$A$2)</f>
        <v>5.4450000000000003</v>
      </c>
      <c r="E4">
        <f t="shared" ref="E4:E12" si="1">0.5*(C4+C3)*($A$3-$A$2)</f>
        <v>4.8154776866545834</v>
      </c>
    </row>
    <row r="5" spans="1:6" x14ac:dyDescent="0.25">
      <c r="A5">
        <v>10</v>
      </c>
      <c r="B5">
        <v>5</v>
      </c>
      <c r="C5" s="1">
        <v>4.5264703376291404</v>
      </c>
      <c r="D5">
        <f t="shared" si="0"/>
        <v>11.925000000000001</v>
      </c>
      <c r="E5">
        <f t="shared" si="1"/>
        <v>10.708105229523902</v>
      </c>
    </row>
    <row r="6" spans="1:6" x14ac:dyDescent="0.25">
      <c r="A6">
        <v>14</v>
      </c>
      <c r="B6">
        <v>6.6</v>
      </c>
      <c r="C6">
        <v>6.5456853765044203</v>
      </c>
      <c r="D6">
        <f t="shared" si="0"/>
        <v>17.399999999999999</v>
      </c>
      <c r="E6">
        <f t="shared" si="1"/>
        <v>16.608233571200344</v>
      </c>
    </row>
    <row r="7" spans="1:6" x14ac:dyDescent="0.25">
      <c r="A7">
        <v>17</v>
      </c>
      <c r="B7">
        <v>7.6</v>
      </c>
      <c r="C7">
        <v>7.5637938012567902</v>
      </c>
      <c r="D7">
        <f t="shared" si="0"/>
        <v>21.299999999999997</v>
      </c>
      <c r="E7">
        <f t="shared" si="1"/>
        <v>21.164218766641817</v>
      </c>
    </row>
    <row r="8" spans="1:6" x14ac:dyDescent="0.25">
      <c r="A8">
        <v>29</v>
      </c>
      <c r="B8">
        <v>9.68</v>
      </c>
      <c r="C8">
        <v>9.1739652785174108</v>
      </c>
      <c r="D8">
        <f t="shared" si="0"/>
        <v>25.92</v>
      </c>
      <c r="E8">
        <f t="shared" si="1"/>
        <v>25.1066386196613</v>
      </c>
    </row>
    <row r="9" spans="1:6" x14ac:dyDescent="0.25">
      <c r="A9">
        <v>33</v>
      </c>
      <c r="B9">
        <v>9.1999999999999993</v>
      </c>
      <c r="C9">
        <v>9.3219810416444702</v>
      </c>
      <c r="D9">
        <f t="shared" si="0"/>
        <v>28.32</v>
      </c>
      <c r="E9">
        <f t="shared" si="1"/>
        <v>27.743919480242823</v>
      </c>
    </row>
    <row r="10" spans="1:6" x14ac:dyDescent="0.25">
      <c r="A10">
        <v>37</v>
      </c>
      <c r="B10">
        <v>9.3000000000000007</v>
      </c>
      <c r="C10">
        <v>9.4029896687613093</v>
      </c>
      <c r="D10">
        <f t="shared" si="0"/>
        <v>27.75</v>
      </c>
      <c r="E10">
        <f t="shared" si="1"/>
        <v>28.087456065608666</v>
      </c>
    </row>
    <row r="11" spans="1:6" x14ac:dyDescent="0.25">
      <c r="A11">
        <v>41</v>
      </c>
      <c r="B11">
        <v>9.6</v>
      </c>
      <c r="C11" s="1">
        <v>9.4469943550963897</v>
      </c>
      <c r="D11">
        <f t="shared" si="0"/>
        <v>28.349999999999998</v>
      </c>
      <c r="E11">
        <f t="shared" si="1"/>
        <v>28.274976035786551</v>
      </c>
    </row>
    <row r="12" spans="1:6" x14ac:dyDescent="0.25">
      <c r="A12">
        <v>51</v>
      </c>
      <c r="B12">
        <v>9.4</v>
      </c>
      <c r="C12">
        <v>9.4879987219086104</v>
      </c>
      <c r="D12">
        <f t="shared" si="0"/>
        <v>28.5</v>
      </c>
      <c r="E12">
        <f t="shared" si="1"/>
        <v>28.402489615507498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7DA1-DC17-4F64-A570-1D262F337EDB}">
  <dimension ref="A1:F20"/>
  <sheetViews>
    <sheetView workbookViewId="0">
      <selection activeCell="F3" sqref="F3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2" bestFit="1" customWidth="1"/>
    <col min="4" max="4" width="14" customWidth="1"/>
    <col min="5" max="5" width="12.7109375" bestFit="1" customWidth="1"/>
    <col min="9" max="9" width="49.140625" bestFit="1" customWidth="1"/>
  </cols>
  <sheetData>
    <row r="1" spans="1:6" x14ac:dyDescent="0.25">
      <c r="A1" t="s">
        <v>5</v>
      </c>
      <c r="B1" t="s">
        <v>6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9.6</v>
      </c>
      <c r="C2">
        <v>9.6</v>
      </c>
    </row>
    <row r="3" spans="1:6" x14ac:dyDescent="0.25">
      <c r="A3">
        <v>1</v>
      </c>
      <c r="B3">
        <v>18.3</v>
      </c>
      <c r="C3">
        <v>16.402091664103349</v>
      </c>
      <c r="D3">
        <f>0.5*(B3+B2)*($A$3-$A$2)</f>
        <v>13.95</v>
      </c>
      <c r="E3">
        <f>0.5*(C3+C2)*($A$3-$A$2)</f>
        <v>13.001045832051673</v>
      </c>
      <c r="F3">
        <f>100*ABS(SUM(D:D)-SUM(E:E))/SUM(E:E)</f>
        <v>0.59838106050528572</v>
      </c>
    </row>
    <row r="4" spans="1:6" x14ac:dyDescent="0.25">
      <c r="A4">
        <v>2</v>
      </c>
      <c r="B4">
        <v>29</v>
      </c>
      <c r="C4">
        <v>27.605536757920639</v>
      </c>
      <c r="D4">
        <f t="shared" ref="D4:D20" si="0">0.5*(B4+B3)*($A$3-$A$2)</f>
        <v>23.65</v>
      </c>
      <c r="E4">
        <f t="shared" ref="E4:E20" si="1">0.5*(C4+C3)*($A$3-$A$2)</f>
        <v>22.003814211011992</v>
      </c>
    </row>
    <row r="5" spans="1:6" x14ac:dyDescent="0.25">
      <c r="A5">
        <v>3</v>
      </c>
      <c r="B5">
        <v>47.2</v>
      </c>
      <c r="C5">
        <v>45.911165795139958</v>
      </c>
      <c r="D5">
        <f t="shared" si="0"/>
        <v>38.1</v>
      </c>
      <c r="E5">
        <f t="shared" si="1"/>
        <v>36.758351276530298</v>
      </c>
    </row>
    <row r="6" spans="1:6" x14ac:dyDescent="0.25">
      <c r="A6">
        <v>4</v>
      </c>
      <c r="B6">
        <v>71.099999999999994</v>
      </c>
      <c r="C6">
        <v>74.920086127345428</v>
      </c>
      <c r="D6">
        <f t="shared" si="0"/>
        <v>59.15</v>
      </c>
      <c r="E6">
        <f t="shared" si="1"/>
        <v>60.415625961242696</v>
      </c>
    </row>
    <row r="7" spans="1:6" x14ac:dyDescent="0.25">
      <c r="A7">
        <v>5</v>
      </c>
      <c r="B7">
        <v>119.1</v>
      </c>
      <c r="C7">
        <v>118.7335589049523</v>
      </c>
      <c r="D7">
        <f t="shared" si="0"/>
        <v>95.1</v>
      </c>
      <c r="E7">
        <f t="shared" si="1"/>
        <v>96.826822516148866</v>
      </c>
    </row>
    <row r="8" spans="1:6" x14ac:dyDescent="0.25">
      <c r="A8">
        <v>6</v>
      </c>
      <c r="B8">
        <v>174.6</v>
      </c>
      <c r="C8">
        <v>180.35250692094741</v>
      </c>
      <c r="D8">
        <f t="shared" si="0"/>
        <v>146.85</v>
      </c>
      <c r="E8">
        <f t="shared" si="1"/>
        <v>149.54303291294985</v>
      </c>
    </row>
    <row r="9" spans="1:6" x14ac:dyDescent="0.25">
      <c r="A9">
        <v>7</v>
      </c>
      <c r="B9">
        <v>257</v>
      </c>
      <c r="C9">
        <v>258.57656105813601</v>
      </c>
      <c r="D9">
        <f t="shared" si="0"/>
        <v>215.8</v>
      </c>
      <c r="E9">
        <f t="shared" si="1"/>
        <v>219.46453398954171</v>
      </c>
    </row>
    <row r="10" spans="1:6" x14ac:dyDescent="0.25">
      <c r="A10">
        <v>8</v>
      </c>
      <c r="B10">
        <v>350.7</v>
      </c>
      <c r="C10">
        <v>346.303537373116</v>
      </c>
      <c r="D10">
        <f t="shared" si="0"/>
        <v>303.85000000000002</v>
      </c>
      <c r="E10">
        <f t="shared" si="1"/>
        <v>302.440049215626</v>
      </c>
    </row>
    <row r="11" spans="1:6" x14ac:dyDescent="0.25">
      <c r="A11">
        <v>9</v>
      </c>
      <c r="B11">
        <v>441</v>
      </c>
      <c r="C11">
        <v>431.82983697323903</v>
      </c>
      <c r="D11">
        <f t="shared" si="0"/>
        <v>395.85</v>
      </c>
      <c r="E11">
        <f t="shared" si="1"/>
        <v>389.06668717317751</v>
      </c>
    </row>
    <row r="12" spans="1:6" x14ac:dyDescent="0.25">
      <c r="A12">
        <v>10</v>
      </c>
      <c r="B12">
        <v>513.29999999999995</v>
      </c>
      <c r="C12">
        <v>504.45216856351891</v>
      </c>
      <c r="D12">
        <f t="shared" si="0"/>
        <v>477.15</v>
      </c>
      <c r="E12">
        <f t="shared" si="1"/>
        <v>468.14100276837894</v>
      </c>
    </row>
    <row r="13" spans="1:6" x14ac:dyDescent="0.25">
      <c r="A13">
        <v>11</v>
      </c>
      <c r="B13">
        <v>559.70000000000005</v>
      </c>
      <c r="C13">
        <v>559.36905567517692</v>
      </c>
      <c r="D13">
        <f t="shared" si="0"/>
        <v>536.5</v>
      </c>
      <c r="E13">
        <f t="shared" si="1"/>
        <v>531.91061211934789</v>
      </c>
    </row>
    <row r="14" spans="1:6" x14ac:dyDescent="0.25">
      <c r="A14">
        <v>12</v>
      </c>
      <c r="B14">
        <v>594.79999999999995</v>
      </c>
      <c r="C14">
        <v>597.28071362657647</v>
      </c>
      <c r="D14">
        <f t="shared" si="0"/>
        <v>577.25</v>
      </c>
      <c r="E14">
        <f t="shared" si="1"/>
        <v>578.3248846508767</v>
      </c>
    </row>
    <row r="15" spans="1:6" x14ac:dyDescent="0.25">
      <c r="A15">
        <v>13</v>
      </c>
      <c r="B15">
        <v>629.4</v>
      </c>
      <c r="C15">
        <v>621.88828052906797</v>
      </c>
      <c r="D15">
        <f t="shared" si="0"/>
        <v>612.09999999999991</v>
      </c>
      <c r="E15">
        <f t="shared" si="1"/>
        <v>609.58449707782222</v>
      </c>
    </row>
    <row r="16" spans="1:6" x14ac:dyDescent="0.25">
      <c r="A16">
        <v>14</v>
      </c>
      <c r="B16">
        <v>640.79999999999995</v>
      </c>
      <c r="C16">
        <v>637.1929867733005</v>
      </c>
      <c r="D16">
        <f t="shared" si="0"/>
        <v>635.09999999999991</v>
      </c>
      <c r="E16">
        <f t="shared" si="1"/>
        <v>629.54063365118418</v>
      </c>
    </row>
    <row r="17" spans="1:5" x14ac:dyDescent="0.25">
      <c r="A17">
        <v>15</v>
      </c>
      <c r="B17">
        <v>651.1</v>
      </c>
      <c r="C17">
        <v>646.49584743155958</v>
      </c>
      <c r="D17">
        <f t="shared" si="0"/>
        <v>645.95000000000005</v>
      </c>
      <c r="E17">
        <f t="shared" si="1"/>
        <v>641.84441710243004</v>
      </c>
    </row>
    <row r="18" spans="1:5" x14ac:dyDescent="0.25">
      <c r="A18">
        <v>16</v>
      </c>
      <c r="B18">
        <v>655.9</v>
      </c>
      <c r="C18">
        <v>652.09756997846819</v>
      </c>
      <c r="D18">
        <f t="shared" si="0"/>
        <v>653.5</v>
      </c>
      <c r="E18">
        <f t="shared" si="1"/>
        <v>649.29670870501388</v>
      </c>
    </row>
    <row r="19" spans="1:5" x14ac:dyDescent="0.25">
      <c r="A19">
        <v>17</v>
      </c>
      <c r="B19">
        <v>659.6</v>
      </c>
      <c r="C19">
        <v>655.29855429098734</v>
      </c>
      <c r="D19">
        <f t="shared" si="0"/>
        <v>657.75</v>
      </c>
      <c r="E19">
        <f t="shared" si="1"/>
        <v>653.69806213472771</v>
      </c>
    </row>
    <row r="20" spans="1:5" x14ac:dyDescent="0.25">
      <c r="A20">
        <v>18</v>
      </c>
      <c r="B20">
        <v>661.8</v>
      </c>
      <c r="C20">
        <v>657.29916948631194</v>
      </c>
      <c r="D20">
        <f t="shared" si="0"/>
        <v>660.7</v>
      </c>
      <c r="E20">
        <f t="shared" si="1"/>
        <v>656.29886188864964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E343-21BA-4171-97CE-3E01B61F1949}">
  <dimension ref="A1:F28"/>
  <sheetViews>
    <sheetView workbookViewId="0">
      <selection activeCell="F3" sqref="F3"/>
    </sheetView>
  </sheetViews>
  <sheetFormatPr defaultRowHeight="15" x14ac:dyDescent="0.25"/>
  <cols>
    <col min="3" max="3" width="12" bestFit="1" customWidth="1"/>
  </cols>
  <sheetData>
    <row r="1" spans="1:6" x14ac:dyDescent="0.25">
      <c r="A1" t="s">
        <v>0</v>
      </c>
      <c r="B1" t="s">
        <v>2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66.6666666666667</v>
      </c>
      <c r="C2">
        <v>66.6666666666667</v>
      </c>
    </row>
    <row r="3" spans="1:6" x14ac:dyDescent="0.25">
      <c r="A3">
        <v>4.5454545454545183</v>
      </c>
      <c r="B3">
        <v>100</v>
      </c>
      <c r="C3">
        <v>80.681576144834963</v>
      </c>
      <c r="D3">
        <f>0.5*(B3+B2)*($A$3-$A$2)</f>
        <v>378.78787878787659</v>
      </c>
      <c r="E3">
        <f>0.5*(C3+C2)*($A$3-$A$2)</f>
        <v>334.88237002613818</v>
      </c>
      <c r="F3">
        <f>100*ABS(SUM(D:D)-SUM(E:E))/SUM(E:E)</f>
        <v>1.6112747515927701</v>
      </c>
    </row>
    <row r="4" spans="1:6" x14ac:dyDescent="0.25">
      <c r="A4">
        <v>6.0606060606060197</v>
      </c>
      <c r="B4">
        <v>133.33333333333334</v>
      </c>
      <c r="C4">
        <v>85.686900958466481</v>
      </c>
      <c r="D4">
        <f t="shared" ref="D4:D28" si="0">0.5*(B4+B3)*($A$3-$A$2)</f>
        <v>530.30303030302719</v>
      </c>
      <c r="E4">
        <f t="shared" ref="E4:E28" si="1">0.5*(C4+C3)*($A$3-$A$2)</f>
        <v>378.11017523477375</v>
      </c>
    </row>
    <row r="5" spans="1:6" x14ac:dyDescent="0.25">
      <c r="A5">
        <v>22.727272727272691</v>
      </c>
      <c r="B5">
        <v>150</v>
      </c>
      <c r="C5">
        <v>144.74973375931839</v>
      </c>
      <c r="D5">
        <f t="shared" si="0"/>
        <v>643.93939393939013</v>
      </c>
      <c r="E5">
        <f t="shared" si="1"/>
        <v>523.71962435859882</v>
      </c>
    </row>
    <row r="6" spans="1:6" x14ac:dyDescent="0.25">
      <c r="A6">
        <v>24.242424242424207</v>
      </c>
      <c r="B6">
        <v>191.666666666667</v>
      </c>
      <c r="C6">
        <v>150.75612353567629</v>
      </c>
      <c r="D6">
        <f t="shared" si="0"/>
        <v>776.51515151514752</v>
      </c>
      <c r="E6">
        <f t="shared" si="1"/>
        <v>671.60422112498395</v>
      </c>
    </row>
    <row r="7" spans="1:6" x14ac:dyDescent="0.25">
      <c r="A7">
        <v>43.939393939393909</v>
      </c>
      <c r="B7">
        <v>233.33333333333334</v>
      </c>
      <c r="C7">
        <v>226.83706070287539</v>
      </c>
      <c r="D7">
        <f t="shared" si="0"/>
        <v>965.90909090908588</v>
      </c>
      <c r="E7">
        <f t="shared" si="1"/>
        <v>858.16632781488499</v>
      </c>
    </row>
    <row r="8" spans="1:6" x14ac:dyDescent="0.25">
      <c r="A8">
        <v>53.030303030303003</v>
      </c>
      <c r="B8">
        <v>308.33333333333337</v>
      </c>
      <c r="C8">
        <v>261.87433439829613</v>
      </c>
      <c r="D8">
        <f t="shared" si="0"/>
        <v>1231.060606060599</v>
      </c>
      <c r="E8">
        <f t="shared" si="1"/>
        <v>1110.7077161390196</v>
      </c>
    </row>
    <row r="9" spans="1:6" x14ac:dyDescent="0.25">
      <c r="A9">
        <v>59.090909090909051</v>
      </c>
      <c r="B9">
        <v>350</v>
      </c>
      <c r="C9">
        <v>284.39829605963791</v>
      </c>
      <c r="D9">
        <f t="shared" si="0"/>
        <v>1496.2121212121124</v>
      </c>
      <c r="E9">
        <f t="shared" si="1"/>
        <v>1241.5287055862063</v>
      </c>
    </row>
    <row r="10" spans="1:6" x14ac:dyDescent="0.25">
      <c r="A10">
        <v>83.3333333333333</v>
      </c>
      <c r="B10">
        <v>400</v>
      </c>
      <c r="C10">
        <v>370.48988285410007</v>
      </c>
      <c r="D10">
        <f t="shared" si="0"/>
        <v>1704.5454545454443</v>
      </c>
      <c r="E10">
        <f t="shared" si="1"/>
        <v>1488.3822248039412</v>
      </c>
    </row>
    <row r="11" spans="1:6" x14ac:dyDescent="0.25">
      <c r="A11">
        <v>113.63636363636361</v>
      </c>
      <c r="B11">
        <v>500.00000000000006</v>
      </c>
      <c r="C11">
        <v>463.58892438764639</v>
      </c>
      <c r="D11">
        <f t="shared" si="0"/>
        <v>2045.4545454545332</v>
      </c>
      <c r="E11">
        <f t="shared" si="1"/>
        <v>1895.6336528221398</v>
      </c>
    </row>
    <row r="12" spans="1:6" x14ac:dyDescent="0.25">
      <c r="A12">
        <v>143.93939393939388</v>
      </c>
      <c r="B12">
        <v>525</v>
      </c>
      <c r="C12">
        <v>540.67092651757184</v>
      </c>
      <c r="D12">
        <f t="shared" si="0"/>
        <v>2329.5454545454409</v>
      </c>
      <c r="E12">
        <f t="shared" si="1"/>
        <v>2282.4087520573003</v>
      </c>
    </row>
    <row r="13" spans="1:6" x14ac:dyDescent="0.25">
      <c r="A13">
        <v>153.030303030303</v>
      </c>
      <c r="B13">
        <v>566.66666666666674</v>
      </c>
      <c r="C13">
        <v>561.19275825346108</v>
      </c>
      <c r="D13">
        <f t="shared" si="0"/>
        <v>2481.0606060605915</v>
      </c>
      <c r="E13">
        <f t="shared" si="1"/>
        <v>2504.2356472068782</v>
      </c>
    </row>
    <row r="14" spans="1:6" x14ac:dyDescent="0.25">
      <c r="A14">
        <v>174.24242424242419</v>
      </c>
      <c r="B14">
        <v>616.66666666666674</v>
      </c>
      <c r="C14">
        <v>603.73801916932905</v>
      </c>
      <c r="D14">
        <f t="shared" si="0"/>
        <v>2689.3939393939236</v>
      </c>
      <c r="E14">
        <f t="shared" si="1"/>
        <v>2647.5699486881435</v>
      </c>
    </row>
    <row r="15" spans="1:6" x14ac:dyDescent="0.25">
      <c r="A15">
        <v>204.5454545454545</v>
      </c>
      <c r="B15">
        <v>666.66666666666674</v>
      </c>
      <c r="C15">
        <v>654.29179978700745</v>
      </c>
      <c r="D15">
        <f t="shared" si="0"/>
        <v>2916.6666666666497</v>
      </c>
      <c r="E15">
        <f t="shared" si="1"/>
        <v>2859.1586794462019</v>
      </c>
    </row>
    <row r="16" spans="1:6" x14ac:dyDescent="0.25">
      <c r="A16">
        <v>234.84848484848482</v>
      </c>
      <c r="B16">
        <v>683.33333333333337</v>
      </c>
      <c r="C16">
        <v>694.83493077742276</v>
      </c>
      <c r="D16">
        <f t="shared" si="0"/>
        <v>3068.1818181817998</v>
      </c>
      <c r="E16">
        <f t="shared" si="1"/>
        <v>3066.1971149191409</v>
      </c>
    </row>
    <row r="17" spans="1:5" x14ac:dyDescent="0.25">
      <c r="A17">
        <v>265.15151515151513</v>
      </c>
      <c r="B17">
        <v>725</v>
      </c>
      <c r="C17">
        <v>726.86900958466447</v>
      </c>
      <c r="D17">
        <f t="shared" si="0"/>
        <v>3200.7575757575569</v>
      </c>
      <c r="E17">
        <f t="shared" si="1"/>
        <v>3231.1453190047246</v>
      </c>
    </row>
    <row r="18" spans="1:5" x14ac:dyDescent="0.25">
      <c r="A18">
        <v>327.27272727272725</v>
      </c>
      <c r="B18">
        <v>766.66666666666674</v>
      </c>
      <c r="C18">
        <v>773.91906283280082</v>
      </c>
      <c r="D18">
        <f t="shared" si="0"/>
        <v>3390.151515151495</v>
      </c>
      <c r="E18">
        <f t="shared" si="1"/>
        <v>3410.8819827669458</v>
      </c>
    </row>
    <row r="19" spans="1:5" x14ac:dyDescent="0.25">
      <c r="A19">
        <v>356.06060606060606</v>
      </c>
      <c r="B19">
        <v>783.33333333333337</v>
      </c>
      <c r="C19">
        <v>788.93503727369534</v>
      </c>
      <c r="D19">
        <f t="shared" si="0"/>
        <v>3522.7272727272516</v>
      </c>
      <c r="E19">
        <f t="shared" si="1"/>
        <v>3551.941136605652</v>
      </c>
    </row>
    <row r="20" spans="1:5" x14ac:dyDescent="0.25">
      <c r="A20">
        <v>387.87878787878788</v>
      </c>
      <c r="B20">
        <v>800</v>
      </c>
      <c r="C20">
        <v>802.44941427050048</v>
      </c>
      <c r="D20">
        <f t="shared" si="0"/>
        <v>3598.4848484848271</v>
      </c>
      <c r="E20">
        <f t="shared" si="1"/>
        <v>3616.7828444186052</v>
      </c>
    </row>
    <row r="21" spans="1:5" x14ac:dyDescent="0.25">
      <c r="A21">
        <v>418.18181818181819</v>
      </c>
      <c r="B21">
        <v>808.33333333333337</v>
      </c>
      <c r="C21">
        <v>812.46006389776358</v>
      </c>
      <c r="D21">
        <f t="shared" si="0"/>
        <v>3655.3030303030087</v>
      </c>
      <c r="E21">
        <f t="shared" si="1"/>
        <v>3670.2488140187602</v>
      </c>
    </row>
    <row r="22" spans="1:5" x14ac:dyDescent="0.25">
      <c r="A22">
        <v>446.96969696969694</v>
      </c>
      <c r="B22">
        <v>816.66666666666674</v>
      </c>
      <c r="C22">
        <v>819.96805111821084</v>
      </c>
      <c r="D22">
        <f t="shared" si="0"/>
        <v>3693.1818181817962</v>
      </c>
      <c r="E22">
        <f t="shared" si="1"/>
        <v>3710.0638977635563</v>
      </c>
    </row>
    <row r="23" spans="1:5" x14ac:dyDescent="0.25">
      <c r="A23">
        <v>471.21212121212119</v>
      </c>
      <c r="B23">
        <v>820.83333333333337</v>
      </c>
      <c r="C23">
        <v>824.97337593184238</v>
      </c>
      <c r="D23">
        <f t="shared" si="0"/>
        <v>3721.5909090908867</v>
      </c>
      <c r="E23">
        <f t="shared" si="1"/>
        <v>3738.5032432955536</v>
      </c>
    </row>
    <row r="24" spans="1:5" x14ac:dyDescent="0.25">
      <c r="A24">
        <v>507.57575757575756</v>
      </c>
      <c r="B24">
        <v>825.00000000000011</v>
      </c>
      <c r="C24">
        <v>831.48029818956331</v>
      </c>
      <c r="D24">
        <f t="shared" si="0"/>
        <v>3740.5303030302812</v>
      </c>
      <c r="E24">
        <f t="shared" si="1"/>
        <v>3764.6674411849904</v>
      </c>
    </row>
    <row r="25" spans="1:5" x14ac:dyDescent="0.25">
      <c r="A25">
        <v>568.18181818181813</v>
      </c>
      <c r="B25">
        <v>825.00000000000011</v>
      </c>
      <c r="C25">
        <v>838.48775292864741</v>
      </c>
      <c r="D25">
        <f t="shared" si="0"/>
        <v>3749.9999999999782</v>
      </c>
      <c r="E25">
        <f t="shared" si="1"/>
        <v>3795.3819343595474</v>
      </c>
    </row>
    <row r="26" spans="1:5" x14ac:dyDescent="0.25">
      <c r="A26">
        <v>630.30303030303025</v>
      </c>
      <c r="B26">
        <v>833.33333333333337</v>
      </c>
      <c r="C26">
        <v>842.99254526091579</v>
      </c>
      <c r="D26">
        <f t="shared" si="0"/>
        <v>3768.9393939393717</v>
      </c>
      <c r="E26">
        <f t="shared" si="1"/>
        <v>3821.5461322489846</v>
      </c>
    </row>
    <row r="27" spans="1:5" x14ac:dyDescent="0.25">
      <c r="A27">
        <v>659.09090909090901</v>
      </c>
      <c r="B27">
        <v>833.33333333333337</v>
      </c>
      <c r="C27">
        <v>844.49414270500529</v>
      </c>
      <c r="D27">
        <f t="shared" si="0"/>
        <v>3787.8787878787653</v>
      </c>
      <c r="E27">
        <f t="shared" si="1"/>
        <v>3835.1970181043434</v>
      </c>
    </row>
    <row r="28" spans="1:5" x14ac:dyDescent="0.25">
      <c r="A28">
        <v>719.69696969696963</v>
      </c>
      <c r="B28">
        <v>850.00000000000011</v>
      </c>
      <c r="C28">
        <v>846.49627263045784</v>
      </c>
      <c r="D28">
        <f t="shared" si="0"/>
        <v>3825.7575757575532</v>
      </c>
      <c r="E28">
        <f t="shared" si="1"/>
        <v>3843.1600348533025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BC84-97B2-4CB4-8823-FA0041B3E3A3}">
  <dimension ref="A1:F20"/>
  <sheetViews>
    <sheetView workbookViewId="0">
      <selection activeCell="C1" sqref="C1"/>
    </sheetView>
  </sheetViews>
  <sheetFormatPr defaultRowHeight="15" x14ac:dyDescent="0.25"/>
  <cols>
    <col min="3" max="3" width="12" bestFit="1" customWidth="1"/>
  </cols>
  <sheetData>
    <row r="1" spans="1:6" x14ac:dyDescent="0.25">
      <c r="A1" t="s">
        <v>3</v>
      </c>
      <c r="B1" t="s">
        <v>2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42.253521126760603</v>
      </c>
      <c r="C2">
        <v>42.253521126760603</v>
      </c>
    </row>
    <row r="3" spans="1:6" x14ac:dyDescent="0.25">
      <c r="A3">
        <v>1.0416666666666667</v>
      </c>
      <c r="B3">
        <v>52.816901408450704</v>
      </c>
      <c r="C3">
        <v>48.353916910392229</v>
      </c>
      <c r="D3">
        <f>0.5*(B3+B2)*($A$3-$A$2)</f>
        <v>49.515845070422557</v>
      </c>
      <c r="E3">
        <f>0.5*(C3+C2)*($A$3-$A$2)</f>
        <v>47.191373977683767</v>
      </c>
      <c r="F3">
        <f>100*ABS(SUM(D:D)-SUM(E:E))/SUM(E:E)</f>
        <v>5.8699796466409246</v>
      </c>
    </row>
    <row r="4" spans="1:6" x14ac:dyDescent="0.25">
      <c r="A4">
        <v>6.25</v>
      </c>
      <c r="B4">
        <v>95.070422535211307</v>
      </c>
      <c r="C4">
        <v>88.556525189407211</v>
      </c>
      <c r="D4">
        <f t="shared" ref="D4:D20" si="0">0.5*(B4+B3)*($A$3-$A$2)</f>
        <v>77.024647887323965</v>
      </c>
      <c r="E4">
        <f t="shared" ref="E4:E20" si="1">0.5*(C4+C3)*($A$3-$A$2)</f>
        <v>71.307521926978879</v>
      </c>
    </row>
    <row r="5" spans="1:6" x14ac:dyDescent="0.25">
      <c r="A5">
        <v>8.8541666666666679</v>
      </c>
      <c r="B5">
        <v>151.40845070422537</v>
      </c>
      <c r="C5">
        <v>115.2582575538276</v>
      </c>
      <c r="D5">
        <f t="shared" si="0"/>
        <v>128.37441314553993</v>
      </c>
      <c r="E5">
        <f t="shared" si="1"/>
        <v>106.15353267876814</v>
      </c>
    </row>
    <row r="6" spans="1:6" x14ac:dyDescent="0.25">
      <c r="A6">
        <v>11.458333333333334</v>
      </c>
      <c r="B6">
        <v>218.3098591549296</v>
      </c>
      <c r="C6">
        <v>145.9602494484983</v>
      </c>
      <c r="D6">
        <f t="shared" si="0"/>
        <v>192.56161971830988</v>
      </c>
      <c r="E6">
        <f t="shared" si="1"/>
        <v>136.05130573037809</v>
      </c>
    </row>
    <row r="7" spans="1:6" x14ac:dyDescent="0.25">
      <c r="A7">
        <v>15.104166666666668</v>
      </c>
      <c r="B7">
        <v>299.29577464788736</v>
      </c>
      <c r="C7">
        <v>194.96342869406379</v>
      </c>
      <c r="D7">
        <f t="shared" si="0"/>
        <v>269.58626760563391</v>
      </c>
      <c r="E7">
        <f t="shared" si="1"/>
        <v>177.5644156992511</v>
      </c>
    </row>
    <row r="8" spans="1:6" x14ac:dyDescent="0.25">
      <c r="A8">
        <v>18.229166666666668</v>
      </c>
      <c r="B8">
        <v>352.11267605633805</v>
      </c>
      <c r="C8">
        <v>241.46644573322291</v>
      </c>
      <c r="D8">
        <f t="shared" si="0"/>
        <v>339.27523474178406</v>
      </c>
      <c r="E8">
        <f t="shared" si="1"/>
        <v>227.30722626421183</v>
      </c>
    </row>
    <row r="9" spans="1:6" x14ac:dyDescent="0.25">
      <c r="A9">
        <v>20.833333333333336</v>
      </c>
      <c r="B9">
        <v>394.36619718309862</v>
      </c>
      <c r="C9">
        <v>282.66911889480048</v>
      </c>
      <c r="D9">
        <f t="shared" si="0"/>
        <v>388.79107981220665</v>
      </c>
      <c r="E9">
        <f t="shared" si="1"/>
        <v>272.98727324376222</v>
      </c>
    </row>
    <row r="10" spans="1:6" x14ac:dyDescent="0.25">
      <c r="A10">
        <v>59.895833333333336</v>
      </c>
      <c r="B10">
        <v>683.09859154929597</v>
      </c>
      <c r="C10">
        <v>938.71168185584099</v>
      </c>
      <c r="D10">
        <f t="shared" si="0"/>
        <v>561.17957746478885</v>
      </c>
      <c r="E10">
        <f t="shared" si="1"/>
        <v>636.13583372429241</v>
      </c>
    </row>
    <row r="11" spans="1:6" x14ac:dyDescent="0.25">
      <c r="A11">
        <v>90.104166666666671</v>
      </c>
      <c r="B11">
        <v>1158.4507042253522</v>
      </c>
      <c r="C11">
        <v>1339.137660833891</v>
      </c>
      <c r="D11">
        <f t="shared" si="0"/>
        <v>959.14025821596272</v>
      </c>
      <c r="E11">
        <f t="shared" si="1"/>
        <v>1186.3798659842355</v>
      </c>
    </row>
    <row r="12" spans="1:6" x14ac:dyDescent="0.25">
      <c r="A12">
        <v>120.31250000000001</v>
      </c>
      <c r="B12">
        <v>1612.6760563380283</v>
      </c>
      <c r="C12">
        <v>1630.0565351713401</v>
      </c>
      <c r="D12">
        <f t="shared" si="0"/>
        <v>1443.2951877934272</v>
      </c>
      <c r="E12">
        <f t="shared" si="1"/>
        <v>1546.4553104193913</v>
      </c>
    </row>
    <row r="13" spans="1:6" x14ac:dyDescent="0.25">
      <c r="A13">
        <v>150.52083333333334</v>
      </c>
      <c r="B13">
        <v>1732.3943661971832</v>
      </c>
      <c r="C13">
        <v>1835.669875026203</v>
      </c>
      <c r="D13">
        <f t="shared" si="0"/>
        <v>1742.224178403756</v>
      </c>
      <c r="E13">
        <f t="shared" si="1"/>
        <v>1805.0658386445539</v>
      </c>
    </row>
    <row r="14" spans="1:6" x14ac:dyDescent="0.25">
      <c r="A14">
        <v>180.20833333333334</v>
      </c>
      <c r="B14">
        <v>1792.2535211267607</v>
      </c>
      <c r="C14">
        <v>1977.1790559088049</v>
      </c>
      <c r="D14">
        <f t="shared" si="0"/>
        <v>1835.7541079812208</v>
      </c>
      <c r="E14">
        <f t="shared" si="1"/>
        <v>1985.8588181953169</v>
      </c>
    </row>
    <row r="15" spans="1:6" x14ac:dyDescent="0.25">
      <c r="A15">
        <v>210.93750000000003</v>
      </c>
      <c r="B15">
        <v>1936.6197183098593</v>
      </c>
      <c r="C15">
        <v>2078.8856544654182</v>
      </c>
      <c r="D15">
        <f t="shared" si="0"/>
        <v>1942.1214788732395</v>
      </c>
      <c r="E15">
        <f t="shared" si="1"/>
        <v>2112.533703319908</v>
      </c>
    </row>
    <row r="16" spans="1:6" x14ac:dyDescent="0.25">
      <c r="A16">
        <v>240.62500000000003</v>
      </c>
      <c r="B16">
        <v>2137.323943661972</v>
      </c>
      <c r="C16">
        <v>2146.790059991416</v>
      </c>
      <c r="D16">
        <f t="shared" si="0"/>
        <v>2121.8456572769956</v>
      </c>
      <c r="E16">
        <f t="shared" si="1"/>
        <v>2200.8727679462681</v>
      </c>
    </row>
    <row r="17" spans="1:5" x14ac:dyDescent="0.25">
      <c r="A17">
        <v>270.83333333333337</v>
      </c>
      <c r="B17">
        <v>2063.3802816901411</v>
      </c>
      <c r="C17">
        <v>2194.5931613779062</v>
      </c>
      <c r="D17">
        <f t="shared" si="0"/>
        <v>2187.8667840375592</v>
      </c>
      <c r="E17">
        <f t="shared" si="1"/>
        <v>2261.137094463189</v>
      </c>
    </row>
    <row r="18" spans="1:5" x14ac:dyDescent="0.25">
      <c r="A18">
        <v>301.04166666666669</v>
      </c>
      <c r="B18">
        <v>1887.323943661972</v>
      </c>
      <c r="C18">
        <v>2227.495296014215</v>
      </c>
      <c r="D18">
        <f t="shared" si="0"/>
        <v>2057.6584507042257</v>
      </c>
      <c r="E18">
        <f t="shared" si="1"/>
        <v>2303.1710715583968</v>
      </c>
    </row>
    <row r="19" spans="1:5" x14ac:dyDescent="0.25">
      <c r="A19">
        <v>331.25</v>
      </c>
      <c r="B19">
        <v>1940.1408450704225</v>
      </c>
      <c r="C19">
        <v>2250.1967688483851</v>
      </c>
      <c r="D19">
        <f t="shared" si="0"/>
        <v>1993.4712441314557</v>
      </c>
      <c r="E19">
        <f t="shared" si="1"/>
        <v>2332.1312837826044</v>
      </c>
    </row>
    <row r="20" spans="1:5" x14ac:dyDescent="0.25">
      <c r="A20">
        <v>361.45833333333337</v>
      </c>
      <c r="B20">
        <v>2271.1267605633798</v>
      </c>
      <c r="C20">
        <v>2265.7977810163611</v>
      </c>
      <c r="D20">
        <f t="shared" si="0"/>
        <v>2193.368544600939</v>
      </c>
      <c r="E20">
        <f t="shared" si="1"/>
        <v>2352.0804947212223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FF3B-0839-4A18-9EA8-E2FB33D4399F}">
  <dimension ref="A1:F15"/>
  <sheetViews>
    <sheetView workbookViewId="0">
      <selection activeCell="F3" sqref="F3"/>
    </sheetView>
  </sheetViews>
  <sheetFormatPr defaultRowHeight="15" x14ac:dyDescent="0.25"/>
  <cols>
    <col min="3" max="3" width="12" bestFit="1" customWidth="1"/>
  </cols>
  <sheetData>
    <row r="1" spans="1:6" x14ac:dyDescent="0.25">
      <c r="A1" t="s">
        <v>3</v>
      </c>
      <c r="B1" t="s">
        <v>2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9.7777777777777793E-3</v>
      </c>
      <c r="C2">
        <v>9.7777777777777793E-3</v>
      </c>
    </row>
    <row r="3" spans="1:6" x14ac:dyDescent="0.25">
      <c r="A3">
        <v>7.0731707317073171</v>
      </c>
      <c r="B3">
        <v>1.5111111111111112E-2</v>
      </c>
      <c r="C3">
        <v>1.6883971766198751E-2</v>
      </c>
      <c r="D3">
        <f>0.5*(B3+B2)*($A$3-$A$2)</f>
        <v>8.8021680216802178E-2</v>
      </c>
      <c r="E3">
        <f>0.5*(C3+C2)*($A$3-$A$2)</f>
        <v>9.4291553265282851E-2</v>
      </c>
      <c r="F3">
        <f>100*ABS(SUM(D:D)-SUM(E:E))/SUM(E:E)</f>
        <v>0.74801366872786679</v>
      </c>
    </row>
    <row r="4" spans="1:6" x14ac:dyDescent="0.25">
      <c r="A4">
        <v>14.390243902439025</v>
      </c>
      <c r="B4">
        <v>3.0222222222222223E-2</v>
      </c>
      <c r="C4">
        <v>2.8093742564834639E-2</v>
      </c>
      <c r="D4">
        <f t="shared" ref="D4:D15" si="0">0.5*(B4+B3)*($A$3-$A$2)</f>
        <v>0.16032520325203253</v>
      </c>
      <c r="E4">
        <f t="shared" ref="E4:E15" si="1">0.5*(C4+C3)*($A$3-$A$2)</f>
        <v>0.15906752629267906</v>
      </c>
    </row>
    <row r="5" spans="1:6" x14ac:dyDescent="0.25">
      <c r="A5">
        <v>21.707317073170699</v>
      </c>
      <c r="B5">
        <v>5.0444444444444403E-2</v>
      </c>
      <c r="C5">
        <v>4.3807439130779613E-2</v>
      </c>
      <c r="D5">
        <f t="shared" si="0"/>
        <v>0.28528455284552828</v>
      </c>
      <c r="E5">
        <f t="shared" si="1"/>
        <v>0.25428466697229429</v>
      </c>
    </row>
    <row r="6" spans="1:6" x14ac:dyDescent="0.25">
      <c r="A6">
        <v>29.268292682926827</v>
      </c>
      <c r="B6">
        <v>7.0666666666666669E-2</v>
      </c>
      <c r="C6">
        <v>6.3724799746213021E-2</v>
      </c>
      <c r="D6">
        <f t="shared" si="0"/>
        <v>0.42831978319783187</v>
      </c>
      <c r="E6">
        <f t="shared" si="1"/>
        <v>0.38029694236985201</v>
      </c>
    </row>
    <row r="7" spans="1:6" x14ac:dyDescent="0.25">
      <c r="A7">
        <v>36.585365853658537</v>
      </c>
      <c r="B7">
        <v>8.6000000000000007E-2</v>
      </c>
      <c r="C7">
        <v>8.4042509318740577E-2</v>
      </c>
      <c r="D7">
        <f t="shared" si="0"/>
        <v>0.55406504065040652</v>
      </c>
      <c r="E7">
        <f t="shared" si="1"/>
        <v>0.52259170279068956</v>
      </c>
    </row>
    <row r="8" spans="1:6" x14ac:dyDescent="0.25">
      <c r="A8">
        <v>43.90243902439024</v>
      </c>
      <c r="B8">
        <v>0.11155555555555556</v>
      </c>
      <c r="C8">
        <v>0.102458561345071</v>
      </c>
      <c r="D8">
        <f t="shared" si="0"/>
        <v>0.69867208672086722</v>
      </c>
      <c r="E8">
        <f t="shared" si="1"/>
        <v>0.65957695722567511</v>
      </c>
    </row>
    <row r="9" spans="1:6" x14ac:dyDescent="0.25">
      <c r="A9">
        <v>51.341463414634148</v>
      </c>
      <c r="B9">
        <v>0.11644444444444445</v>
      </c>
      <c r="C9">
        <v>0.1175717344753747</v>
      </c>
      <c r="D9">
        <f t="shared" si="0"/>
        <v>0.8063414634146342</v>
      </c>
      <c r="E9">
        <f t="shared" si="1"/>
        <v>0.7781559242430397</v>
      </c>
    </row>
    <row r="10" spans="1:6" x14ac:dyDescent="0.25">
      <c r="A10">
        <v>58.658536585365852</v>
      </c>
      <c r="B10">
        <v>0.12666666666666668</v>
      </c>
      <c r="C10">
        <v>0.12848124355619001</v>
      </c>
      <c r="D10">
        <f t="shared" si="0"/>
        <v>0.85978319783197832</v>
      </c>
      <c r="E10">
        <f t="shared" si="1"/>
        <v>0.87018736133114349</v>
      </c>
    </row>
    <row r="11" spans="1:6" x14ac:dyDescent="0.25">
      <c r="A11">
        <v>66.097560975609753</v>
      </c>
      <c r="B11">
        <v>0.13666666666666669</v>
      </c>
      <c r="C11">
        <v>0.13618796098025221</v>
      </c>
      <c r="D11">
        <f t="shared" si="0"/>
        <v>0.93130081300813017</v>
      </c>
      <c r="E11">
        <f t="shared" si="1"/>
        <v>0.93602523555571027</v>
      </c>
    </row>
    <row r="12" spans="1:6" x14ac:dyDescent="0.25">
      <c r="A12">
        <v>73.414634146341456</v>
      </c>
      <c r="B12">
        <v>0.1468888888888889</v>
      </c>
      <c r="C12">
        <v>0.14119232294392889</v>
      </c>
      <c r="D12">
        <f t="shared" si="0"/>
        <v>1.0028184281842818</v>
      </c>
      <c r="E12">
        <f t="shared" si="1"/>
        <v>0.9809790529025918</v>
      </c>
    </row>
    <row r="13" spans="1:6" x14ac:dyDescent="0.25">
      <c r="A13">
        <v>77.073170731707322</v>
      </c>
      <c r="B13">
        <v>0.13666666666666669</v>
      </c>
      <c r="C13">
        <v>0.1429938932508526</v>
      </c>
      <c r="D13">
        <f t="shared" si="0"/>
        <v>1.0028184281842818</v>
      </c>
      <c r="E13">
        <f t="shared" si="1"/>
        <v>1.0050488133717881</v>
      </c>
    </row>
    <row r="14" spans="1:6" x14ac:dyDescent="0.25">
      <c r="A14">
        <v>88.170731707317074</v>
      </c>
      <c r="B14">
        <v>0.13666666666666669</v>
      </c>
      <c r="C14">
        <v>0.1465970338646998</v>
      </c>
      <c r="D14">
        <f t="shared" si="0"/>
        <v>0.96666666666666679</v>
      </c>
      <c r="E14">
        <f t="shared" si="1"/>
        <v>1.0241630349208561</v>
      </c>
    </row>
    <row r="15" spans="1:6" x14ac:dyDescent="0.25">
      <c r="A15">
        <v>91.829268292682926</v>
      </c>
      <c r="B15">
        <v>0.141777777777778</v>
      </c>
      <c r="C15">
        <v>0.14729764453961461</v>
      </c>
      <c r="D15">
        <f t="shared" si="0"/>
        <v>0.98474254742547518</v>
      </c>
      <c r="E15">
        <f t="shared" si="1"/>
        <v>1.0393836187469656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C17F-6168-4ABF-925F-B67390823333}">
  <dimension ref="A1:F22"/>
  <sheetViews>
    <sheetView workbookViewId="0">
      <selection activeCell="F3" sqref="F3"/>
    </sheetView>
  </sheetViews>
  <sheetFormatPr defaultRowHeight="15" x14ac:dyDescent="0.25"/>
  <cols>
    <col min="3" max="3" width="12" bestFit="1" customWidth="1"/>
  </cols>
  <sheetData>
    <row r="1" spans="1:6" x14ac:dyDescent="0.25">
      <c r="A1" t="s">
        <v>3</v>
      </c>
      <c r="B1" t="s">
        <v>4</v>
      </c>
      <c r="C1" t="s">
        <v>12</v>
      </c>
      <c r="D1" t="s">
        <v>10</v>
      </c>
      <c r="E1" t="s">
        <v>11</v>
      </c>
    </row>
    <row r="2" spans="1:6" x14ac:dyDescent="0.25">
      <c r="A2">
        <v>0</v>
      </c>
      <c r="B2">
        <v>330</v>
      </c>
      <c r="C2">
        <v>330</v>
      </c>
    </row>
    <row r="3" spans="1:6" x14ac:dyDescent="0.25">
      <c r="A3">
        <v>63.63636363636364</v>
      </c>
      <c r="B3">
        <v>410</v>
      </c>
      <c r="C3">
        <v>494.60400496362439</v>
      </c>
      <c r="D3">
        <f>0.5*(B3+B2)*($A$3-$A$2)</f>
        <v>23545.454545454548</v>
      </c>
      <c r="E3">
        <f>0.5*(C3+C2)*($A$3-$A$2)</f>
        <v>26237.400157933505</v>
      </c>
      <c r="F3">
        <f>100*ABS(SUM(D:D)-SUM(E:E))/SUM(E:E)</f>
        <v>3.5233321426112179</v>
      </c>
    </row>
    <row r="4" spans="1:6" x14ac:dyDescent="0.25">
      <c r="A4">
        <v>95.454545454545467</v>
      </c>
      <c r="B4">
        <v>540</v>
      </c>
      <c r="C4">
        <v>595.30645514489402</v>
      </c>
      <c r="D4">
        <f t="shared" ref="D4:D22" si="0">0.5*(B4+B3)*($A$3-$A$2)</f>
        <v>30227.272727272728</v>
      </c>
      <c r="E4">
        <f t="shared" ref="E4:E22" si="1">0.5*(C4+C3)*($A$3-$A$2)</f>
        <v>34678.969185271046</v>
      </c>
    </row>
    <row r="5" spans="1:6" x14ac:dyDescent="0.25">
      <c r="A5">
        <v>122.72727272727273</v>
      </c>
      <c r="B5">
        <v>750</v>
      </c>
      <c r="C5">
        <v>691.10878610185159</v>
      </c>
      <c r="D5">
        <f t="shared" si="0"/>
        <v>41045.454545454551</v>
      </c>
      <c r="E5">
        <f t="shared" si="1"/>
        <v>40931.394039669183</v>
      </c>
    </row>
    <row r="6" spans="1:6" x14ac:dyDescent="0.25">
      <c r="A6">
        <v>181.81818181818184</v>
      </c>
      <c r="B6">
        <v>1080</v>
      </c>
      <c r="C6">
        <v>925.41448697048588</v>
      </c>
      <c r="D6">
        <f t="shared" si="0"/>
        <v>58227.272727272728</v>
      </c>
      <c r="E6">
        <f t="shared" si="1"/>
        <v>51434.83141593801</v>
      </c>
    </row>
    <row r="7" spans="1:6" x14ac:dyDescent="0.25">
      <c r="A7">
        <v>209.09090909090912</v>
      </c>
      <c r="B7">
        <v>1330</v>
      </c>
      <c r="C7">
        <v>1043.9173702523181</v>
      </c>
      <c r="D7">
        <f t="shared" si="0"/>
        <v>76681.818181818191</v>
      </c>
      <c r="E7">
        <f t="shared" si="1"/>
        <v>62660.559093452859</v>
      </c>
    </row>
    <row r="8" spans="1:6" x14ac:dyDescent="0.25">
      <c r="A8">
        <v>240.90909090909093</v>
      </c>
      <c r="B8">
        <v>1590</v>
      </c>
      <c r="C8">
        <v>1188.420886152948</v>
      </c>
      <c r="D8">
        <f t="shared" si="0"/>
        <v>92909.090909090912</v>
      </c>
      <c r="E8">
        <f t="shared" si="1"/>
        <v>71028.944521985744</v>
      </c>
    </row>
    <row r="9" spans="1:6" x14ac:dyDescent="0.25">
      <c r="A9">
        <v>300</v>
      </c>
      <c r="B9">
        <v>1920</v>
      </c>
      <c r="C9">
        <v>1468.427698970778</v>
      </c>
      <c r="D9">
        <f t="shared" si="0"/>
        <v>111681.81818181819</v>
      </c>
      <c r="E9">
        <f t="shared" si="1"/>
        <v>84536.09134484583</v>
      </c>
    </row>
    <row r="10" spans="1:6" x14ac:dyDescent="0.25">
      <c r="A10">
        <v>390.90909090909093</v>
      </c>
      <c r="B10">
        <v>2180</v>
      </c>
      <c r="C10">
        <v>1905.6383366991899</v>
      </c>
      <c r="D10">
        <f t="shared" si="0"/>
        <v>130454.54545454546</v>
      </c>
      <c r="E10">
        <f t="shared" si="1"/>
        <v>107356.646589499</v>
      </c>
    </row>
    <row r="11" spans="1:6" x14ac:dyDescent="0.25">
      <c r="A11">
        <v>418.18181818181824</v>
      </c>
      <c r="B11">
        <v>2340</v>
      </c>
      <c r="C11">
        <v>2033.741453563347</v>
      </c>
      <c r="D11">
        <f t="shared" si="0"/>
        <v>143818.18181818182</v>
      </c>
      <c r="E11">
        <f t="shared" si="1"/>
        <v>125343.90241744436</v>
      </c>
    </row>
    <row r="12" spans="1:6" x14ac:dyDescent="0.25">
      <c r="A12">
        <v>568.18181818181824</v>
      </c>
      <c r="B12">
        <v>2840</v>
      </c>
      <c r="C12">
        <v>2678.1571327769529</v>
      </c>
      <c r="D12">
        <f t="shared" si="0"/>
        <v>164818.18181818182</v>
      </c>
      <c r="E12">
        <f t="shared" si="1"/>
        <v>149924.04592900953</v>
      </c>
    </row>
    <row r="13" spans="1:6" x14ac:dyDescent="0.25">
      <c r="A13">
        <v>600</v>
      </c>
      <c r="B13">
        <v>3020</v>
      </c>
      <c r="C13">
        <v>2798.360057422321</v>
      </c>
      <c r="D13">
        <f t="shared" si="0"/>
        <v>186454.54545454547</v>
      </c>
      <c r="E13">
        <f t="shared" si="1"/>
        <v>174252.81968815875</v>
      </c>
    </row>
    <row r="14" spans="1:6" x14ac:dyDescent="0.25">
      <c r="A14">
        <v>686.36363636363637</v>
      </c>
      <c r="B14">
        <v>3340</v>
      </c>
      <c r="C14">
        <v>3093.2672327793862</v>
      </c>
      <c r="D14">
        <f t="shared" si="0"/>
        <v>202363.63636363638</v>
      </c>
      <c r="E14">
        <f t="shared" si="1"/>
        <v>187460.86832459978</v>
      </c>
    </row>
    <row r="15" spans="1:6" x14ac:dyDescent="0.25">
      <c r="A15">
        <v>895.4545454545455</v>
      </c>
      <c r="B15">
        <v>3600</v>
      </c>
      <c r="C15">
        <v>3627.7802379619939</v>
      </c>
      <c r="D15">
        <f t="shared" si="0"/>
        <v>220818.18181818182</v>
      </c>
      <c r="E15">
        <f t="shared" si="1"/>
        <v>213851.51043268028</v>
      </c>
    </row>
    <row r="16" spans="1:6" x14ac:dyDescent="0.25">
      <c r="A16">
        <v>1040.909090909091</v>
      </c>
      <c r="B16">
        <v>3680</v>
      </c>
      <c r="C16">
        <v>3876.686294070415</v>
      </c>
      <c r="D16">
        <f t="shared" si="0"/>
        <v>231636.36363636365</v>
      </c>
      <c r="E16">
        <f t="shared" si="1"/>
        <v>238778.48056466758</v>
      </c>
    </row>
    <row r="17" spans="1:5" x14ac:dyDescent="0.25">
      <c r="A17">
        <v>1281.818181818182</v>
      </c>
      <c r="B17">
        <v>3980</v>
      </c>
      <c r="C17">
        <v>4136.9926275578473</v>
      </c>
      <c r="D17">
        <f t="shared" si="0"/>
        <v>243727.27272727274</v>
      </c>
      <c r="E17">
        <f t="shared" si="1"/>
        <v>254980.69296089927</v>
      </c>
    </row>
    <row r="18" spans="1:5" x14ac:dyDescent="0.25">
      <c r="A18">
        <v>1340.909090909091</v>
      </c>
      <c r="B18">
        <v>4060</v>
      </c>
      <c r="C18">
        <v>4180.2936811114623</v>
      </c>
      <c r="D18">
        <f t="shared" si="0"/>
        <v>255818.18181818182</v>
      </c>
      <c r="E18">
        <f t="shared" si="1"/>
        <v>264640.92800311442</v>
      </c>
    </row>
    <row r="19" spans="1:5" x14ac:dyDescent="0.25">
      <c r="A19">
        <v>1636.3636363636365</v>
      </c>
      <c r="B19">
        <v>4180</v>
      </c>
      <c r="C19">
        <v>4320.397089953527</v>
      </c>
      <c r="D19">
        <f t="shared" si="0"/>
        <v>262181.81818181818</v>
      </c>
      <c r="E19">
        <f t="shared" si="1"/>
        <v>270476.52453388605</v>
      </c>
    </row>
    <row r="20" spans="1:5" x14ac:dyDescent="0.25">
      <c r="A20">
        <v>1995.4545454545457</v>
      </c>
      <c r="B20">
        <v>4350</v>
      </c>
      <c r="C20">
        <v>4393.6988734519091</v>
      </c>
      <c r="D20">
        <f t="shared" si="0"/>
        <v>271409.09090909094</v>
      </c>
      <c r="E20">
        <f t="shared" si="1"/>
        <v>277266.68974471843</v>
      </c>
    </row>
    <row r="21" spans="1:5" x14ac:dyDescent="0.25">
      <c r="A21">
        <v>2240.909090909091</v>
      </c>
      <c r="B21">
        <v>4440</v>
      </c>
      <c r="C21">
        <v>4415.8994136110359</v>
      </c>
      <c r="D21">
        <f t="shared" si="0"/>
        <v>279681.81818181818</v>
      </c>
      <c r="E21">
        <f t="shared" si="1"/>
        <v>280305.40004291188</v>
      </c>
    </row>
    <row r="22" spans="1:5" x14ac:dyDescent="0.25">
      <c r="A22">
        <v>2377.2727272727275</v>
      </c>
      <c r="B22">
        <v>4440</v>
      </c>
      <c r="C22">
        <v>4423.1995912309303</v>
      </c>
      <c r="D22">
        <f t="shared" si="0"/>
        <v>282545.45454545459</v>
      </c>
      <c r="E22">
        <f t="shared" si="1"/>
        <v>281244.05924497166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CEBD-00AA-4A3B-827C-B2D11A9B529A}">
  <dimension ref="A1:O15"/>
  <sheetViews>
    <sheetView tabSelected="1" workbookViewId="0">
      <selection activeCell="F8" sqref="F8"/>
    </sheetView>
  </sheetViews>
  <sheetFormatPr defaultRowHeight="14.25" x14ac:dyDescent="0.2"/>
  <cols>
    <col min="1" max="1" width="12.7109375" style="2" customWidth="1"/>
    <col min="2" max="2" width="15.42578125" style="2" bestFit="1" customWidth="1"/>
    <col min="3" max="3" width="13.7109375" style="2" bestFit="1" customWidth="1"/>
    <col min="4" max="16384" width="9.140625" style="2"/>
  </cols>
  <sheetData>
    <row r="1" spans="1:15" ht="15" x14ac:dyDescent="0.25">
      <c r="A1" s="2" t="s">
        <v>8</v>
      </c>
      <c r="B1" s="3" t="s">
        <v>9</v>
      </c>
      <c r="C1" s="3" t="s">
        <v>12</v>
      </c>
      <c r="D1" t="s">
        <v>10</v>
      </c>
      <c r="E1" t="s">
        <v>11</v>
      </c>
      <c r="F1"/>
      <c r="K1" s="3"/>
    </row>
    <row r="2" spans="1:15" ht="15" x14ac:dyDescent="0.25">
      <c r="A2" s="2">
        <v>0</v>
      </c>
      <c r="B2" s="3">
        <v>225.535</v>
      </c>
      <c r="C2" s="3">
        <v>225.535</v>
      </c>
      <c r="D2"/>
      <c r="E2"/>
      <c r="F2"/>
      <c r="J2" s="3"/>
      <c r="K2" s="3"/>
    </row>
    <row r="3" spans="1:15" ht="15" x14ac:dyDescent="0.25">
      <c r="A3" s="3">
        <v>9.0226600000000001</v>
      </c>
      <c r="B3" s="3">
        <v>302.95699999999999</v>
      </c>
      <c r="C3" s="4">
        <v>285.53762300293999</v>
      </c>
      <c r="D3">
        <f>0.5*(B3+B2)*($A$3-$A$2)</f>
        <v>2384.2018143599998</v>
      </c>
      <c r="E3">
        <f>0.5*(C3+C2)*($A$3-$A$2)</f>
        <v>2305.6172563318532</v>
      </c>
      <c r="F3">
        <f>100*ABS(SUM(D:D)-SUM(E:E))/SUM(E:E)</f>
        <v>10.814023599922951</v>
      </c>
      <c r="J3" s="3"/>
      <c r="K3" s="3"/>
      <c r="L3" s="3"/>
      <c r="M3" s="3"/>
    </row>
    <row r="4" spans="1:15" ht="15" x14ac:dyDescent="0.25">
      <c r="A4" s="3">
        <v>19.995899999999999</v>
      </c>
      <c r="B4" s="3">
        <v>575.61900000000003</v>
      </c>
      <c r="C4" s="4">
        <v>379.54173237421497</v>
      </c>
      <c r="D4">
        <f t="shared" ref="D4:D15" si="0">0.5*(B4+B3)*($A$3-$A$2)</f>
        <v>3963.5462660800004</v>
      </c>
      <c r="E4">
        <f t="shared" ref="E4:E15" si="1">0.5*(C4+C3)*($A$3-$A$2)</f>
        <v>3000.3924482936209</v>
      </c>
      <c r="J4" s="3"/>
      <c r="K4" s="3"/>
      <c r="L4" s="3"/>
      <c r="M4" s="3"/>
      <c r="N4" s="3"/>
      <c r="O4" s="3"/>
    </row>
    <row r="5" spans="1:15" ht="15" x14ac:dyDescent="0.25">
      <c r="A5" s="3">
        <v>32.065899999999999</v>
      </c>
      <c r="B5" s="3">
        <v>651.35799999999995</v>
      </c>
      <c r="C5" s="4">
        <v>517.34775653763597</v>
      </c>
      <c r="D5">
        <f t="shared" si="0"/>
        <v>5535.2981494099995</v>
      </c>
      <c r="E5">
        <f t="shared" si="1"/>
        <v>4046.1644580127008</v>
      </c>
      <c r="J5" s="3"/>
      <c r="K5" s="3"/>
    </row>
    <row r="6" spans="1:15" ht="15" x14ac:dyDescent="0.25">
      <c r="A6" s="3">
        <v>43.038499999999999</v>
      </c>
      <c r="B6" s="3">
        <v>681.654</v>
      </c>
      <c r="C6" s="4">
        <v>682.654982910738</v>
      </c>
      <c r="D6">
        <f t="shared" si="0"/>
        <v>6013.6570259600003</v>
      </c>
      <c r="E6">
        <f t="shared" si="1"/>
        <v>5413.6083585556335</v>
      </c>
    </row>
    <row r="7" spans="1:15" ht="15" x14ac:dyDescent="0.25">
      <c r="A7" s="3">
        <v>54.011699999999998</v>
      </c>
      <c r="B7" s="3">
        <v>927.80700000000002</v>
      </c>
      <c r="C7" s="4">
        <v>895.76429894285002</v>
      </c>
      <c r="D7">
        <f t="shared" si="0"/>
        <v>7260.8096931300006</v>
      </c>
      <c r="E7">
        <f t="shared" si="1"/>
        <v>7120.7702588045477</v>
      </c>
    </row>
    <row r="8" spans="1:15" ht="15" x14ac:dyDescent="0.25">
      <c r="A8" s="2">
        <v>65.153800000000004</v>
      </c>
      <c r="B8" s="3">
        <v>1211.83</v>
      </c>
      <c r="C8" s="4">
        <v>1170.8763254113301</v>
      </c>
      <c r="D8">
        <f t="shared" si="0"/>
        <v>9652.6085872099993</v>
      </c>
      <c r="E8">
        <f t="shared" si="1"/>
        <v>9323.2978478677433</v>
      </c>
    </row>
    <row r="9" spans="1:15" ht="15" x14ac:dyDescent="0.25">
      <c r="A9" s="3">
        <v>76.042500000000004</v>
      </c>
      <c r="B9" s="3">
        <v>1457.98</v>
      </c>
      <c r="C9" s="4">
        <v>1504.2909005643401</v>
      </c>
      <c r="D9">
        <f t="shared" si="0"/>
        <v>12044.393947299999</v>
      </c>
      <c r="E9">
        <f t="shared" si="1"/>
        <v>12068.56216156082</v>
      </c>
    </row>
    <row r="10" spans="1:15" ht="15" x14ac:dyDescent="0.25">
      <c r="A10" s="3">
        <v>82.0364</v>
      </c>
      <c r="B10" s="3">
        <v>1897.27</v>
      </c>
      <c r="C10" s="4">
        <v>1716.10015976472</v>
      </c>
      <c r="D10">
        <f t="shared" si="0"/>
        <v>15136.639982500001</v>
      </c>
      <c r="E10">
        <f t="shared" si="1"/>
        <v>14528.246802194299</v>
      </c>
    </row>
    <row r="11" spans="1:15" ht="15" x14ac:dyDescent="0.25">
      <c r="A11" s="2">
        <v>87.101399999999998</v>
      </c>
      <c r="B11" s="3">
        <v>2166.15</v>
      </c>
      <c r="C11" s="4">
        <v>1909.8086276925501</v>
      </c>
      <c r="D11">
        <f t="shared" si="0"/>
        <v>18331.428548600001</v>
      </c>
      <c r="E11">
        <f t="shared" si="1"/>
        <v>16357.671090119607</v>
      </c>
    </row>
    <row r="12" spans="1:15" ht="15" x14ac:dyDescent="0.25">
      <c r="A12" s="3">
        <v>93.001300000000001</v>
      </c>
      <c r="B12" s="3">
        <v>2557.04</v>
      </c>
      <c r="C12" s="4">
        <v>2150.1191328193299</v>
      </c>
      <c r="D12">
        <f t="shared" si="0"/>
        <v>21307.868742700004</v>
      </c>
      <c r="E12">
        <f t="shared" si="1"/>
        <v>18315.673903830058</v>
      </c>
    </row>
    <row r="13" spans="1:15" ht="15" x14ac:dyDescent="0.25">
      <c r="A13" s="3">
        <v>97.990899999999996</v>
      </c>
      <c r="B13" s="3">
        <v>2707.68</v>
      </c>
      <c r="C13" s="4">
        <v>2362.6284226214102</v>
      </c>
      <c r="D13">
        <f t="shared" si="0"/>
        <v>23750.889277599996</v>
      </c>
      <c r="E13">
        <f t="shared" si="1"/>
        <v>20358.493429286475</v>
      </c>
    </row>
    <row r="14" spans="1:15" ht="15" x14ac:dyDescent="0.25">
      <c r="A14" s="3">
        <v>106.95699999999999</v>
      </c>
      <c r="B14" s="3">
        <v>2916.81</v>
      </c>
      <c r="C14" s="4">
        <v>2752.44546339718</v>
      </c>
      <c r="D14">
        <f t="shared" si="0"/>
        <v>25373.930471699998</v>
      </c>
      <c r="E14">
        <f t="shared" si="1"/>
        <v>23075.786274212245</v>
      </c>
    </row>
    <row r="15" spans="1:15" ht="15" x14ac:dyDescent="0.25">
      <c r="A15" s="2">
        <v>114.03</v>
      </c>
      <c r="B15" s="3">
        <v>3480.22</v>
      </c>
      <c r="C15" s="4">
        <v>3048.9584254033798</v>
      </c>
      <c r="D15">
        <f t="shared" si="0"/>
        <v>28859.113349899999</v>
      </c>
      <c r="E15">
        <f t="shared" si="1"/>
        <v>26172.04740566263</v>
      </c>
      <c r="G1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White Rat Male</vt:lpstr>
      <vt:lpstr>White Rat Female</vt:lpstr>
      <vt:lpstr>Male Albino Rat</vt:lpstr>
      <vt:lpstr>Female Albino Rat</vt:lpstr>
      <vt:lpstr>Cucurpita Pepo</vt:lpstr>
      <vt:lpstr>Tadpole Tail Regeneration</vt:lpstr>
      <vt:lpstr>Yeast Cells</vt:lpstr>
      <vt:lpstr>Guinea Pig</vt:lpstr>
      <vt:lpstr>Hen</vt:lpstr>
      <vt:lpstr>Guppy</vt:lpstr>
      <vt:lpstr>Cow</vt:lpstr>
      <vt:lpstr>Tumor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</dc:creator>
  <cp:lastModifiedBy>hoda</cp:lastModifiedBy>
  <dcterms:created xsi:type="dcterms:W3CDTF">2015-06-05T18:17:20Z</dcterms:created>
  <dcterms:modified xsi:type="dcterms:W3CDTF">2025-04-30T12:01:30Z</dcterms:modified>
</cp:coreProperties>
</file>